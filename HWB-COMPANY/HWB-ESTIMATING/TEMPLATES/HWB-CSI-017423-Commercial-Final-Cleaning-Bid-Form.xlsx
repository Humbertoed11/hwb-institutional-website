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contract_Bid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 SF&quot;"/>
    <numFmt numFmtId="165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3C5FD"/>
      <sz val="9.5"/>
    </font>
    <font>
      <name val="Calibri"/>
      <b val="1"/>
      <color rgb="000F172A"/>
      <sz val="9"/>
    </font>
    <font>
      <name val="Calibri"/>
      <color rgb="00334155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E3A8A"/>
      <sz val="11"/>
    </font>
    <font>
      <name val="Calibri"/>
      <b val="1"/>
      <color rgb="0015803D"/>
      <sz val="9"/>
    </font>
    <font>
      <name val="Calibri"/>
      <b val="1"/>
      <color rgb="00B91C1C"/>
      <sz val="9"/>
    </font>
    <font>
      <name val="Calibri"/>
      <b val="1"/>
      <color rgb="00166534"/>
      <sz val="8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5" borderId="2" pivotButton="0" quotePrefix="0" xfId="0"/>
    <xf numFmtId="165" fontId="7" fillId="5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8" fillId="6" borderId="0" pivotButton="0" quotePrefix="0" xfId="0"/>
    <xf numFmtId="0" fontId="9" fillId="7" borderId="0" pivotButton="0" quotePrefix="0" xfId="0"/>
    <xf numFmtId="0" fontId="4" fillId="0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8" customWidth="1" min="4" max="4"/>
    <col width="16" customWidth="1" min="5" max="5"/>
    <col width="22" customWidth="1" min="6" max="6"/>
    <col width="18" customWidth="1" min="7" max="7"/>
  </cols>
  <sheetData>
    <row r="1" ht="26" customHeight="1">
      <c r="A1" s="1" t="inlineStr">
        <is>
          <t>HWB CLEANING SERVICES LLC — COMMERCIAL CONSTRUCTION DIVISION</t>
        </is>
      </c>
    </row>
    <row r="2" ht="16" customHeight="1">
      <c r="A2" s="2" t="inlineStr">
        <is>
          <t>CSI MASTERFORMAT® 01 74 23: FINAL CLEANING SUBCONTRACT BID PROPOSAL</t>
        </is>
      </c>
    </row>
    <row r="3" ht="6" customHeight="1"/>
    <row r="4" ht="18" customHeight="1">
      <c r="A4" s="3" t="inlineStr">
        <is>
          <t>General Contractor:</t>
        </is>
      </c>
      <c r="B4" s="4" t="n"/>
      <c r="C4" s="5" t="inlineStr">
        <is>
          <t>Novel Builders LLC</t>
        </is>
      </c>
      <c r="D4" s="6" t="n"/>
      <c r="E4" s="3" t="inlineStr">
        <is>
          <t>Bid Date:</t>
        </is>
      </c>
      <c r="F4" s="5" t="inlineStr">
        <is>
          <t>September 04, 2026</t>
        </is>
      </c>
      <c r="G4" s="6" t="n"/>
    </row>
    <row r="5" ht="18" customHeight="1">
      <c r="A5" s="3" t="inlineStr">
        <is>
          <t>Project Name:</t>
        </is>
      </c>
      <c r="B5" s="4" t="n"/>
      <c r="C5" s="5" t="inlineStr">
        <is>
          <t>Stacked Industrial</t>
        </is>
      </c>
      <c r="D5" s="6" t="n"/>
      <c r="E5" s="3" t="inlineStr">
        <is>
          <t>Bid Ref ID:</t>
        </is>
      </c>
      <c r="F5" s="5" t="inlineStr">
        <is>
          <t>HWB-GC-2026-001</t>
        </is>
      </c>
      <c r="G5" s="6" t="n"/>
    </row>
    <row r="6" ht="18" customHeight="1">
      <c r="A6" s="3" t="inlineStr">
        <is>
          <t>Project Location:</t>
        </is>
      </c>
      <c r="B6" s="4" t="n"/>
      <c r="C6" s="5" t="inlineStr">
        <is>
          <t>Fort Worth / DFW Metroplex, TX</t>
        </is>
      </c>
      <c r="D6" s="6" t="n"/>
      <c r="E6" s="3" t="inlineStr">
        <is>
          <t>Addenda Ack:</t>
        </is>
      </c>
      <c r="F6" s="5" t="inlineStr">
        <is>
          <t>Addenda #1 through #3 (All Current)</t>
        </is>
      </c>
      <c r="G6" s="6" t="n"/>
    </row>
    <row r="7" ht="18" customHeight="1">
      <c r="A7" s="3" t="inlineStr">
        <is>
          <t>Estimator Contact:</t>
        </is>
      </c>
      <c r="B7" s="4" t="n"/>
      <c r="C7" s="5" t="inlineStr">
        <is>
          <t>Austin Addis</t>
        </is>
      </c>
      <c r="D7" s="6" t="n"/>
      <c r="E7" s="3" t="inlineStr">
        <is>
          <t>Operations Base:</t>
        </is>
      </c>
      <c r="F7" s="5" t="inlineStr">
        <is>
          <t>Arlington, TX (Dedicated DFW Mobilization)</t>
        </is>
      </c>
      <c r="G7" s="6" t="n"/>
    </row>
    <row r="8" ht="6" customHeight="1"/>
    <row r="9" ht="20" customHeight="1">
      <c r="A9" s="7" t="inlineStr">
        <is>
          <t>1.0 CSI 01 74 23 ITEMIZED SCOPE OF WORK &amp; SUBCONTRACT BID BREAKDOWN</t>
        </is>
      </c>
    </row>
    <row r="10" ht="28" customHeight="1">
      <c r="A10" s="8" t="inlineStr">
        <is>
          <t>Item</t>
        </is>
      </c>
      <c r="B10" s="8" t="inlineStr">
        <is>
          <t>Phase / Scope Description</t>
        </is>
      </c>
      <c r="C10" s="9" t="n"/>
      <c r="D10" s="8" t="inlineStr">
        <is>
          <t>Area / Units</t>
        </is>
      </c>
      <c r="E10" s="8" t="inlineStr">
        <is>
          <t>Rate Basis</t>
        </is>
      </c>
      <c r="F10" s="8" t="inlineStr">
        <is>
          <t>Total Investment</t>
        </is>
      </c>
      <c r="G10" s="8" t="inlineStr">
        <is>
          <t>Schedule Tier</t>
        </is>
      </c>
    </row>
    <row r="11" ht="20" customHeight="1">
      <c r="A11" s="10" t="inlineStr">
        <is>
          <t>1.1</t>
        </is>
      </c>
      <c r="B11" s="11" t="inlineStr">
        <is>
          <t>Phase 2: Master Final Clean (Primary Turnover)</t>
        </is>
      </c>
      <c r="C11" s="12" t="n"/>
      <c r="D11" s="13" t="n">
        <v>18500</v>
      </c>
      <c r="E11" s="14" t="n">
        <v>0.24</v>
      </c>
      <c r="F11" s="15">
        <f>D11*E11</f>
        <v/>
      </c>
      <c r="G11" s="10" t="inlineStr">
        <is>
          <t>Base Scope</t>
        </is>
      </c>
    </row>
    <row r="12" ht="20" customHeight="1">
      <c r="A12" s="16" t="inlineStr">
        <is>
          <t>1.2</t>
        </is>
      </c>
      <c r="B12" s="3" t="inlineStr">
        <is>
          <t>Glazing &amp; Storefront Glass Detailing (In &amp; Out)</t>
        </is>
      </c>
      <c r="C12" s="17" t="n"/>
      <c r="D12" s="16" t="inlineStr">
        <is>
          <t>48 Panels</t>
        </is>
      </c>
      <c r="E12" s="18" t="n">
        <v>18</v>
      </c>
      <c r="F12" s="19">
        <f>48*18</f>
        <v/>
      </c>
      <c r="G12" s="16" t="inlineStr">
        <is>
          <t>Base Scope</t>
        </is>
      </c>
    </row>
    <row r="13" ht="20" customHeight="1">
      <c r="A13" s="10" t="inlineStr">
        <is>
          <t>1.3</t>
        </is>
      </c>
      <c r="B13" s="11" t="inlineStr">
        <is>
          <t>Restroom Deep De-Scale &amp; Fixture Detailing</t>
        </is>
      </c>
      <c r="C13" s="12" t="n"/>
      <c r="D13" s="10" t="inlineStr">
        <is>
          <t>14 Fixtures</t>
        </is>
      </c>
      <c r="E13" s="14" t="n">
        <v>35</v>
      </c>
      <c r="F13" s="15">
        <f>14*35</f>
        <v/>
      </c>
      <c r="G13" s="10" t="inlineStr">
        <is>
          <t>Base Scope</t>
        </is>
      </c>
    </row>
    <row r="14" ht="20" customHeight="1">
      <c r="A14" s="16" t="inlineStr">
        <is>
          <t>1.4</t>
        </is>
      </c>
      <c r="B14" s="3" t="inlineStr">
        <is>
          <t>Resilient Flooring Machine Scrub &amp; Wax (VCT/LVT)</t>
        </is>
      </c>
      <c r="C14" s="17" t="n"/>
      <c r="D14" s="20" t="n">
        <v>3200</v>
      </c>
      <c r="E14" s="18" t="n">
        <v>0.28</v>
      </c>
      <c r="F14" s="19">
        <f>3200*E14</f>
        <v/>
      </c>
      <c r="G14" s="16" t="inlineStr">
        <is>
          <t>Base Scope</t>
        </is>
      </c>
    </row>
    <row r="15" ht="20" customHeight="1">
      <c r="A15" s="10" t="inlineStr">
        <is>
          <t>1.5</t>
        </is>
      </c>
      <c r="B15" s="11" t="inlineStr">
        <is>
          <t>Sealed / Polished Concrete Mechanical Auto-Scrub</t>
        </is>
      </c>
      <c r="C15" s="12" t="n"/>
      <c r="D15" s="13" t="n">
        <v>15300</v>
      </c>
      <c r="E15" s="14" t="n">
        <v>0.18</v>
      </c>
      <c r="F15" s="15">
        <f>15300*E15</f>
        <v/>
      </c>
      <c r="G15" s="10" t="inlineStr">
        <is>
          <t>Base Scope</t>
        </is>
      </c>
    </row>
    <row r="16" ht="20" customHeight="1">
      <c r="A16" s="16" t="inlineStr">
        <is>
          <t>1.6</t>
        </is>
      </c>
      <c r="B16" s="3" t="inlineStr">
        <is>
          <t>Phase 3: Pre-CO Touch-Up Clean (Fluff-and-Buff)</t>
        </is>
      </c>
      <c r="C16" s="17" t="n"/>
      <c r="D16" s="20" t="n">
        <v>18500</v>
      </c>
      <c r="E16" s="18" t="n">
        <v>0.06</v>
      </c>
      <c r="F16" s="19">
        <f>D16*E16</f>
        <v/>
      </c>
      <c r="G16" s="16" t="inlineStr">
        <is>
          <t>Included Alternate</t>
        </is>
      </c>
    </row>
    <row r="17" ht="24" customHeight="1">
      <c r="A17" s="21" t="inlineStr">
        <is>
          <t>TOTAL BASE BID SUBCONTRACT INVESTMENT (Turnkey Fixed Sum)</t>
        </is>
      </c>
      <c r="B17" s="22" t="n"/>
      <c r="C17" s="22" t="n"/>
      <c r="D17" s="22" t="n"/>
      <c r="E17" s="22" t="n"/>
      <c r="F17" s="23">
        <f>SUM(F11:F16)</f>
        <v/>
      </c>
      <c r="G17" s="24" t="inlineStr">
        <is>
          <t>CSI 01 74 23</t>
        </is>
      </c>
    </row>
    <row r="18" ht="6" customHeight="1"/>
    <row r="19" ht="20" customHeight="1">
      <c r="A19" s="7" t="inlineStr">
        <is>
          <t>2.0 SCOPE BOUNDARIES: POKA-YOKE INCLUSIONS &amp; EXCLUSIONS</t>
        </is>
      </c>
    </row>
    <row r="20">
      <c r="A20" s="25" t="inlineStr">
        <is>
          <t>✓ SCOPE INCLUSIONS (By HWB Cleaning Services)</t>
        </is>
      </c>
      <c r="D20" t="inlineStr"/>
      <c r="E20" s="26" t="inlineStr">
        <is>
          <t>✕ SCOPE EXCLUSIONS (By General Contractor / Others)</t>
        </is>
      </c>
    </row>
    <row r="21" ht="18" customHeight="1">
      <c r="A21" s="27" t="inlineStr">
        <is>
          <t>• Sticker, protective film, and tape scraping on all glazing/frames.</t>
        </is>
      </c>
      <c r="B21" s="6" t="n"/>
      <c r="C21" s="6" t="n"/>
      <c r="D21" t="inlineStr"/>
      <c r="E21" s="27" t="inlineStr">
        <is>
          <t>• On-site dumpster / disposal container (provided by GC on site).</t>
        </is>
      </c>
      <c r="F21" s="6" t="n"/>
      <c r="G21" s="6" t="n"/>
    </row>
    <row r="22" ht="18" customHeight="1">
      <c r="A22" s="27" t="inlineStr">
        <is>
          <t>• Storefront interior &amp; exterior glass washed/squeegeed up to 25 ft.</t>
        </is>
      </c>
      <c r="B22" s="6" t="n"/>
      <c r="C22" s="6" t="n"/>
      <c r="D22" t="inlineStr"/>
      <c r="E22" s="27" t="inlineStr">
        <is>
          <t>• Active electrical power and pressurized water on site.</t>
        </is>
      </c>
      <c r="F22" s="6" t="n"/>
      <c r="G22" s="6" t="n"/>
    </row>
    <row r="23" ht="18" customHeight="1">
      <c r="A23" s="27" t="inlineStr">
        <is>
          <t>• Machine rotary scrub and grout extraction across all tile/restrooms.</t>
        </is>
      </c>
      <c r="B23" s="6" t="n"/>
      <c r="C23" s="6" t="n"/>
      <c r="D23" t="inlineStr"/>
      <c r="E23" s="27" t="inlineStr">
        <is>
          <t>• Exterior glass exceeding 2 stories requiring boom/swing-stage.</t>
        </is>
      </c>
      <c r="F23" s="6" t="n"/>
      <c r="G23" s="6" t="n"/>
    </row>
    <row r="24" ht="18" customHeight="1">
      <c r="A24" s="27" t="inlineStr">
        <is>
          <t>• Auto-scrubber mechanical wash on sealed/polished concrete.</t>
        </is>
      </c>
      <c r="B24" s="6" t="n"/>
      <c r="C24" s="6" t="n"/>
      <c r="D24" t="inlineStr"/>
      <c r="E24" s="27" t="inlineStr">
        <is>
          <t>• Hazardous material abatement (asbestos, lead, mold, biohazard).</t>
        </is>
      </c>
      <c r="F24" s="6" t="n"/>
      <c r="G24" s="6" t="n"/>
    </row>
    <row r="25" ht="18" customHeight="1">
      <c r="A25" s="27" t="inlineStr">
        <is>
          <t>• Acid wash and descaling of new plumbing porcelain &amp; fixtures.</t>
        </is>
      </c>
      <c r="B25" s="6" t="n"/>
      <c r="C25" s="6" t="n"/>
      <c r="D25" t="inlineStr"/>
      <c r="E25" s="27" t="inlineStr">
        <is>
          <t>• Pressure washing exterior parking lot / drive lanes.</t>
        </is>
      </c>
      <c r="F25" s="6" t="n"/>
      <c r="G25" s="6" t="n"/>
    </row>
    <row r="26" ht="18" customHeight="1">
      <c r="A26" s="27" t="inlineStr">
        <is>
          <t>• Millwork, casework, and breakroom cabinetry interior/exterior wipe.</t>
        </is>
      </c>
      <c r="B26" s="6" t="n"/>
      <c r="C26" s="6" t="n"/>
      <c r="D26" t="inlineStr"/>
      <c r="E26" s="27" t="inlineStr">
        <is>
          <t>• Repair of pre-existing scratch damage caused by prior trades.</t>
        </is>
      </c>
      <c r="F26" s="6" t="n"/>
      <c r="G26" s="6" t="n"/>
    </row>
    <row r="27" ht="18" customHeight="1">
      <c r="A27" s="27" t="inlineStr">
        <is>
          <t>• All commercial chemicals, HEPA vacuums, scrubbers, and PPE.</t>
        </is>
      </c>
      <c r="B27" s="6" t="n"/>
      <c r="C27" s="6" t="n"/>
      <c r="D27" t="inlineStr"/>
      <c r="E27" s="27" t="inlineStr">
        <is>
          <t>• Trade re-cleaning after superintendent punch-walk ($45/hr T&amp;M).</t>
        </is>
      </c>
      <c r="F27" s="6" t="n"/>
      <c r="G27" s="6" t="n"/>
    </row>
    <row r="28" ht="6" customHeight="1"/>
    <row r="29" ht="20" customHeight="1">
      <c r="A29" s="7" t="inlineStr">
        <is>
          <t>3.0 COMMERCIAL INSURANCE, SAFETY (EMR) &amp; CONTRACT TERMS</t>
        </is>
      </c>
    </row>
    <row r="30" ht="18" customHeight="1">
      <c r="A30" s="28" t="inlineStr">
        <is>
          <t>COMPLIANCE: $2,000,000 General Liability | $1,000,000 Auto | $1,000,000 Workers' Comp | EMR 0.82 | OSHA 30 Certified</t>
        </is>
      </c>
      <c r="B30" s="6" t="n"/>
      <c r="C30" s="6" t="n"/>
      <c r="D30" s="6" t="n"/>
      <c r="E30" s="6" t="n"/>
      <c r="F30" s="6" t="n"/>
      <c r="G30" s="6" t="n"/>
    </row>
    <row r="31" ht="18" customHeight="1">
      <c r="A31" s="3" t="inlineStr">
        <is>
          <t>Billing &amp; Retainage:</t>
        </is>
      </c>
      <c r="B31" s="4" t="n"/>
      <c r="C31" s="5" t="inlineStr">
        <is>
          <t>Monthly progress billing (AIA G702/G703). 5–10% retainage released within 30 days of final clean turnover.</t>
        </is>
      </c>
      <c r="D31" s="6" t="n"/>
      <c r="E31" s="6" t="n"/>
      <c r="F31" s="6" t="n"/>
      <c r="G31" s="6" t="n"/>
    </row>
    <row r="32" ht="18" customHeight="1">
      <c r="A32" s="3" t="inlineStr">
        <is>
          <t>Validity &amp; Mobilization:</t>
        </is>
      </c>
      <c r="B32" s="4" t="n"/>
      <c r="C32" s="5" t="inlineStr">
        <is>
          <t>Proposal valid for 60 days. Mobilization requires 5 business days advance notice from Superintendent.</t>
        </is>
      </c>
      <c r="D32" s="6" t="n"/>
      <c r="E32" s="6" t="n"/>
      <c r="F32" s="6" t="n"/>
      <c r="G32" s="6" t="n"/>
    </row>
    <row r="33" ht="18" customHeight="1">
      <c r="A33" s="3" t="inlineStr">
        <is>
          <t>1-Click Prequal Vault:</t>
        </is>
      </c>
      <c r="B33" s="4" t="n"/>
      <c r="C33" s="5" t="inlineStr">
        <is>
          <t>Download ACORD 25 COI, W-9, Safety Statement (IIPP), and References at https://mop.hwbcleaning.com/prequal</t>
        </is>
      </c>
      <c r="D33" s="6" t="n"/>
      <c r="E33" s="6" t="n"/>
      <c r="F33" s="6" t="n"/>
      <c r="G33" s="6" t="n"/>
    </row>
    <row r="34" ht="6" customHeight="1"/>
    <row r="35">
      <c r="A35" s="29" t="inlineStr">
        <is>
          <t>SUBMITTED BY: HWB CLEANING SERVICES LLC</t>
        </is>
      </c>
      <c r="E35" s="29" t="inlineStr">
        <is>
          <t>ACCEPTED BY: GENERAL CONTRACTOR</t>
        </is>
      </c>
    </row>
    <row r="36" ht="24" customHeight="1">
      <c r="A36" s="30" t="inlineStr">
        <is>
          <t>Humberto Dominguez, CEO • (817) 600-6467</t>
        </is>
      </c>
      <c r="E36" s="30" t="inlineStr">
        <is>
          <t>Authorized Signature: ___________________________________</t>
        </is>
      </c>
    </row>
  </sheetData>
  <mergeCells count="52">
    <mergeCell ref="F4:G4"/>
    <mergeCell ref="A25:C25"/>
    <mergeCell ref="B16:C16"/>
    <mergeCell ref="C6:D6"/>
    <mergeCell ref="C5:D5"/>
    <mergeCell ref="C33:G33"/>
    <mergeCell ref="A27:C27"/>
    <mergeCell ref="F6:G6"/>
    <mergeCell ref="A21:C21"/>
    <mergeCell ref="A29:G29"/>
    <mergeCell ref="A19:G19"/>
    <mergeCell ref="A26:C26"/>
    <mergeCell ref="A6:B6"/>
    <mergeCell ref="F7:G7"/>
    <mergeCell ref="B12:C12"/>
    <mergeCell ref="C4:D4"/>
    <mergeCell ref="E36:G36"/>
    <mergeCell ref="A7:B7"/>
    <mergeCell ref="A9:G9"/>
    <mergeCell ref="B11:C11"/>
    <mergeCell ref="A23:C23"/>
    <mergeCell ref="E27:G27"/>
    <mergeCell ref="F5:G5"/>
    <mergeCell ref="A22:C22"/>
    <mergeCell ref="E26:G26"/>
    <mergeCell ref="B14:C14"/>
    <mergeCell ref="A30:G30"/>
    <mergeCell ref="C31:G31"/>
    <mergeCell ref="A35:C35"/>
    <mergeCell ref="A20:C20"/>
    <mergeCell ref="E25:G25"/>
    <mergeCell ref="B13:C13"/>
    <mergeCell ref="A1:G1"/>
    <mergeCell ref="E22:G22"/>
    <mergeCell ref="A33:B33"/>
    <mergeCell ref="B10:C10"/>
    <mergeCell ref="A5:B5"/>
    <mergeCell ref="A32:B32"/>
    <mergeCell ref="E21:G21"/>
    <mergeCell ref="A17:E17"/>
    <mergeCell ref="A24:C24"/>
    <mergeCell ref="A4:B4"/>
    <mergeCell ref="E24:G24"/>
    <mergeCell ref="A36:C36"/>
    <mergeCell ref="C7:D7"/>
    <mergeCell ref="B15:C15"/>
    <mergeCell ref="C32:G32"/>
    <mergeCell ref="E23:G23"/>
    <mergeCell ref="A2:G2"/>
    <mergeCell ref="E35:G35"/>
    <mergeCell ref="A31:B31"/>
    <mergeCell ref="E20:G20"/>
  </mergeCells>
  <pageMargins left="0.35" right="0.35" top="0.35" bottom="0.3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2026-09-04T21:06:30Z</dcterms:created>
  <dcterms:modified xsi:type="dcterms:W3CDTF">2026-09-04T21:06:30Z</dcterms:modified>
</cp:coreProperties>
</file>