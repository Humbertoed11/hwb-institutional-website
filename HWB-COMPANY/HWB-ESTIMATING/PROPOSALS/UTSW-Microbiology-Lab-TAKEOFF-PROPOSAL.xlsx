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 Propo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3A8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75" customWidth="1" min="2" max="2"/>
    <col width="14" customWidth="1" min="3" max="3"/>
    <col width="10" customWidth="1" min="4" max="4"/>
    <col width="16" customWidth="1" min="5" max="5"/>
    <col width="18" customWidth="1" min="6" max="6"/>
  </cols>
  <sheetData>
    <row r="1">
      <c r="A1" s="1" t="inlineStr">
        <is>
          <t>HWB CLEANING SERVICES LLC | COMMERCIAL SCOPE &amp; TAKEOFF PROPOSAL</t>
        </is>
      </c>
    </row>
    <row r="2">
      <c r="A2" s="2" t="inlineStr">
        <is>
          <t>Project: THE UNIVSERITY OF TEXAS SOUTHWESTERN MEDICAL CENTER WILLIAM P. CLEMENTS JR. | Date: 09/04/2026 | Governance: SigmaFidelity™ Industrial Standard</t>
        </is>
      </c>
    </row>
    <row r="4">
      <c r="A4" s="3" t="inlineStr">
        <is>
          <t>Location / Facility:</t>
        </is>
      </c>
      <c r="B4" s="4" t="inlineStr">
        <is>
          <t>6201 HARRY HINES BOULEVARD</t>
        </is>
      </c>
    </row>
    <row r="5">
      <c r="A5" s="3" t="inlineStr">
        <is>
          <t>Gross Takeoff Footprint:</t>
        </is>
      </c>
      <c r="B5" s="4" t="inlineStr">
        <is>
          <t>4,049 SQ FT</t>
        </is>
      </c>
    </row>
    <row r="6">
      <c r="A6" s="3" t="inlineStr">
        <is>
          <t>Facility Classification:</t>
        </is>
      </c>
      <c r="B6" s="4" t="inlineStr">
        <is>
          <t>Hospital Clinical Laboratory (Biosafety)</t>
        </is>
      </c>
    </row>
    <row r="7">
      <c r="A7" s="3" t="inlineStr">
        <is>
          <t>Primary Floor Finish:</t>
        </is>
      </c>
      <c r="B7" s="4" t="inlineStr">
        <is>
          <t>Seamless Resinous Epoxy, VCT / Resilient Tile</t>
        </is>
      </c>
    </row>
    <row r="9">
      <c r="A9" s="5" t="inlineStr">
        <is>
          <t>Phase</t>
        </is>
      </c>
      <c r="B9" s="5" t="inlineStr">
        <is>
          <t>Scope of Work &amp; Specification Description</t>
        </is>
      </c>
      <c r="C9" s="5" t="inlineStr">
        <is>
          <t>Quantity</t>
        </is>
      </c>
      <c r="D9" s="5" t="inlineStr">
        <is>
          <t>Unit</t>
        </is>
      </c>
      <c r="E9" s="5" t="inlineStr">
        <is>
          <t>Unit Rate ($)</t>
        </is>
      </c>
      <c r="F9" s="5" t="inlineStr">
        <is>
          <t>Total Amount ($)</t>
        </is>
      </c>
    </row>
    <row r="10">
      <c r="A10" s="6" t="inlineStr">
        <is>
          <t>Phase 1</t>
        </is>
      </c>
      <c r="B10" s="7" t="inlineStr">
        <is>
          <t>Rough Construction Clean (Debris removal, rough sweep, pre-paint prep)</t>
        </is>
      </c>
      <c r="C10" s="8" t="n">
        <v>4049</v>
      </c>
      <c r="D10" s="9" t="inlineStr">
        <is>
          <t>SF</t>
        </is>
      </c>
      <c r="E10" s="10" t="n">
        <v>0.14</v>
      </c>
      <c r="F10" s="11">
        <f>C10*E10</f>
        <v/>
      </c>
    </row>
    <row r="11">
      <c r="A11" s="6" t="inlineStr">
        <is>
          <t>Phase 2</t>
        </is>
      </c>
      <c r="B11" s="7" t="inlineStr">
        <is>
          <t>Final Specialized Clean (Cleanroom/Lab disinfection, HEPA vacuum, casework, diffusers, vertical surfaces)</t>
        </is>
      </c>
      <c r="C11" s="8" t="n">
        <v>4049</v>
      </c>
      <c r="D11" s="9" t="inlineStr">
        <is>
          <t>SF</t>
        </is>
      </c>
      <c r="E11" s="10" t="n">
        <v>0.55</v>
      </c>
      <c r="F11" s="11">
        <f>C11*E11</f>
        <v/>
      </c>
    </row>
    <row r="12">
      <c r="A12" s="6" t="inlineStr">
        <is>
          <t>Phase 3</t>
        </is>
      </c>
      <c r="B12" s="7" t="inlineStr">
        <is>
          <t>Touch-Up &amp; Punch-List Detailing (Immediate pre-owner final walkthrough)</t>
        </is>
      </c>
      <c r="C12" s="8" t="n">
        <v>4049</v>
      </c>
      <c r="D12" s="9" t="inlineStr">
        <is>
          <t>SF</t>
        </is>
      </c>
      <c r="E12" s="10" t="n">
        <v>0.1</v>
      </c>
      <c r="F12" s="11">
        <f>C12*E12</f>
        <v/>
      </c>
    </row>
    <row r="13">
      <c r="A13" s="6" t="inlineStr">
        <is>
          <t>Floor Care</t>
        </is>
      </c>
      <c r="B13" s="7" t="inlineStr">
        <is>
          <t>Specialized Floor Care: Seamless Resinous Epoxy Auto-Scrub &amp; Clinical Disinfection</t>
        </is>
      </c>
      <c r="C13" s="8" t="n">
        <v>4049</v>
      </c>
      <c r="D13" s="9" t="inlineStr">
        <is>
          <t>SF</t>
        </is>
      </c>
      <c r="E13" s="10" t="n">
        <v>0.38</v>
      </c>
      <c r="F13" s="11">
        <f>C13*E13</f>
        <v/>
      </c>
    </row>
    <row r="14">
      <c r="A14" s="12" t="inlineStr">
        <is>
          <t>TOTAL COMMERCIAL TAKEOFF PROPOSAL</t>
        </is>
      </c>
      <c r="F14" s="13">
        <f>SUM(F10:F13)</f>
        <v/>
      </c>
    </row>
  </sheetData>
  <mergeCells count="7">
    <mergeCell ref="A2:F2"/>
    <mergeCell ref="B5:D5"/>
    <mergeCell ref="A1:F1"/>
    <mergeCell ref="B4:D4"/>
    <mergeCell ref="A14:E14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2026-09-04T22:28:49Z</dcterms:created>
  <dcterms:modified xsi:type="dcterms:W3CDTF">2026-09-04T22:28:49Z</dcterms:modified>
</cp:coreProperties>
</file>