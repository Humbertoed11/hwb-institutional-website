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 Propo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B45309"/>
      <sz val="10"/>
    </font>
    <font>
      <name val="Calibri"/>
      <b val="1"/>
      <color rgb="0092400E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</fills>
  <borders count="4">
    <border>
      <left/>
      <right/>
      <top/>
      <bottom/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3" borderId="2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2" pivotButton="0" quotePrefix="0" xfId="0"/>
    <xf numFmtId="3" fontId="4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164" fontId="4" fillId="0" borderId="2" applyAlignment="1" pivotButton="0" quotePrefix="0" xfId="0">
      <alignment horizontal="right"/>
    </xf>
    <xf numFmtId="164" fontId="3" fillId="0" borderId="2" applyAlignment="1" pivotButton="0" quotePrefix="0" xfId="0">
      <alignment horizontal="right"/>
    </xf>
    <xf numFmtId="0" fontId="3" fillId="4" borderId="0" applyAlignment="1" pivotButton="0" quotePrefix="0" xfId="0">
      <alignment horizontal="right"/>
    </xf>
    <xf numFmtId="164" fontId="3" fillId="4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  <col width="14" customWidth="1" min="3" max="3"/>
    <col width="10" customWidth="1" min="4" max="4"/>
    <col width="16" customWidth="1" min="5" max="5"/>
    <col width="18" customWidth="1" min="6" max="6"/>
  </cols>
  <sheetData>
    <row r="1">
      <c r="A1" s="1" t="inlineStr">
        <is>
          <t>HWB CLEANING SERVICES LLC | COMMERCIAL SCOPE &amp; TAKEOFF PROPOSAL</t>
        </is>
      </c>
    </row>
    <row r="2">
      <c r="A2" s="2" t="inlineStr">
        <is>
          <t>Project: MYCON-Hillside-Student-Center | Date: 09/04/2026 | Governance: SigmaFidelity™ Industrial Standard</t>
        </is>
      </c>
    </row>
    <row r="4">
      <c r="A4" s="3" t="inlineStr">
        <is>
          <t>Location / Facility:</t>
        </is>
      </c>
      <c r="B4" s="4" t="inlineStr">
        <is>
          <t>VICINITY MAP</t>
        </is>
      </c>
    </row>
    <row r="5">
      <c r="A5" s="3" t="inlineStr">
        <is>
          <t>Gross Takeoff Footprint:</t>
        </is>
      </c>
      <c r="B5" s="4" t="inlineStr">
        <is>
          <t>7,500 SQ FT</t>
        </is>
      </c>
    </row>
    <row r="6">
      <c r="A6" s="3" t="inlineStr">
        <is>
          <t>Facility Classification:</t>
        </is>
      </c>
      <c r="B6" s="4" t="inlineStr">
        <is>
          <t>Standard Commercial Institutional</t>
        </is>
      </c>
    </row>
    <row r="7">
      <c r="A7" s="3" t="inlineStr">
        <is>
          <t>Primary Floor Finish:</t>
        </is>
      </c>
      <c r="B7" s="4" t="inlineStr">
        <is>
          <t>Exterior Concrete Paving &amp; Sidewalks</t>
        </is>
      </c>
    </row>
    <row r="8">
      <c r="A8" s="3" t="inlineStr">
        <is>
          <t>Empirical Data Integrity:</t>
        </is>
      </c>
      <c r="B8" s="5" t="inlineStr">
        <is>
          <t>DATA DISCREPANCY (HEURISTIC ESTIMATE)</t>
        </is>
      </c>
    </row>
    <row r="10">
      <c r="A10" s="6" t="inlineStr">
        <is>
          <t>⚠️ ESTIMATOR NOTICE: DATA DISCREPANCY / HEURISTIC CALIBRATION - Drawing set contains Civil Site Plan lot boundary (526,771 SF) without stamped interior room finish schedule. Footprint is a calibrated estimator assumption.</t>
        </is>
      </c>
      <c r="B10" s="7" t="n"/>
      <c r="C10" s="7" t="n"/>
      <c r="D10" s="7" t="n"/>
      <c r="E10" s="7" t="n"/>
      <c r="F10" s="7" t="n"/>
    </row>
    <row r="12">
      <c r="A12" s="8" t="inlineStr">
        <is>
          <t>Phase</t>
        </is>
      </c>
      <c r="B12" s="8" t="inlineStr">
        <is>
          <t>Scope of Work &amp; Specification Description</t>
        </is>
      </c>
      <c r="C12" s="8" t="inlineStr">
        <is>
          <t>Quantity</t>
        </is>
      </c>
      <c r="D12" s="8" t="inlineStr">
        <is>
          <t>Unit</t>
        </is>
      </c>
      <c r="E12" s="8" t="inlineStr">
        <is>
          <t>Unit Rate ($)</t>
        </is>
      </c>
      <c r="F12" s="8" t="inlineStr">
        <is>
          <t>Total Amount ($)</t>
        </is>
      </c>
    </row>
    <row r="13">
      <c r="A13" s="9" t="inlineStr">
        <is>
          <t>Phase 1</t>
        </is>
      </c>
      <c r="B13" s="10" t="inlineStr">
        <is>
          <t>Rough Construction Clean (Debris removal, rough sweep, pre-paint prep)</t>
        </is>
      </c>
      <c r="C13" s="11" t="n">
        <v>7500</v>
      </c>
      <c r="D13" s="12" t="inlineStr">
        <is>
          <t>SF</t>
        </is>
      </c>
      <c r="E13" s="13" t="n">
        <v>0.14</v>
      </c>
      <c r="F13" s="14">
        <f>C13*E13</f>
        <v/>
      </c>
    </row>
    <row r="14">
      <c r="A14" s="9" t="inlineStr">
        <is>
          <t>Phase 2</t>
        </is>
      </c>
      <c r="B14" s="10" t="inlineStr">
        <is>
          <t>Final Commercial Clean (Complete interior architectural wipe-down, glass, sills, diffusers, restrooms)</t>
        </is>
      </c>
      <c r="C14" s="11" t="n">
        <v>7500</v>
      </c>
      <c r="D14" s="12" t="inlineStr">
        <is>
          <t>SF</t>
        </is>
      </c>
      <c r="E14" s="13" t="n">
        <v>0.28</v>
      </c>
      <c r="F14" s="14">
        <f>C14*E14</f>
        <v/>
      </c>
    </row>
    <row r="15">
      <c r="A15" s="9" t="inlineStr">
        <is>
          <t>Phase 3</t>
        </is>
      </c>
      <c r="B15" s="10" t="inlineStr">
        <is>
          <t>Touch-Up &amp; Punch-List Detailing (Immediate pre-owner final walkthrough)</t>
        </is>
      </c>
      <c r="C15" s="11" t="n">
        <v>7500</v>
      </c>
      <c r="D15" s="12" t="inlineStr">
        <is>
          <t>SF</t>
        </is>
      </c>
      <c r="E15" s="13" t="n">
        <v>0.1</v>
      </c>
      <c r="F15" s="14">
        <f>C15*E15</f>
        <v/>
      </c>
    </row>
    <row r="16">
      <c r="A16" s="9" t="inlineStr">
        <is>
          <t>Floor Care</t>
        </is>
      </c>
      <c r="B16" s="10" t="inlineStr">
        <is>
          <t>Specialized Floor Care: Exterior Concrete Paving &amp; Sidewalks Machine Scrub &amp; High-Solids Acrylic Seal</t>
        </is>
      </c>
      <c r="C16" s="11" t="n">
        <v>7500</v>
      </c>
      <c r="D16" s="12" t="inlineStr">
        <is>
          <t>SF</t>
        </is>
      </c>
      <c r="E16" s="13" t="n">
        <v>0.28</v>
      </c>
      <c r="F16" s="14">
        <f>C16*E16</f>
        <v/>
      </c>
    </row>
    <row r="17">
      <c r="A17" s="15" t="inlineStr">
        <is>
          <t>TOTAL COMMERCIAL TAKEOFF PROPOSAL</t>
        </is>
      </c>
      <c r="F17" s="16">
        <f>SUM(F13:F16)</f>
        <v/>
      </c>
    </row>
  </sheetData>
  <mergeCells count="9">
    <mergeCell ref="A2:F2"/>
    <mergeCell ref="B5:D5"/>
    <mergeCell ref="A10:F10"/>
    <mergeCell ref="A17:E17"/>
    <mergeCell ref="A1:F1"/>
    <mergeCell ref="B8:D8"/>
    <mergeCell ref="B4:D4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2026-09-04T22:36:38Z</dcterms:created>
  <dcterms:modified xsi:type="dcterms:W3CDTF">2026-09-04T22:36:38Z</dcterms:modified>
</cp:coreProperties>
</file>