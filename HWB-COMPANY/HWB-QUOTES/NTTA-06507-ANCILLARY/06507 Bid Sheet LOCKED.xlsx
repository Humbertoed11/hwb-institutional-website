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rocurement Services\All Procurements\2026\RFB\06507-NTT-00-GS-MA - Janitorial Services for Ancillary Facilities\1 - RFB Templates and Planners\Agiloft Documents\"/>
    </mc:Choice>
  </mc:AlternateContent>
  <xr:revisionPtr revIDLastSave="0" documentId="13_ncr:1_{CDC324C9-CDE5-4892-85E5-99D20342037B}" xr6:coauthVersionLast="47" xr6:coauthVersionMax="47" xr10:uidLastSave="{00000000-0000-0000-0000-000000000000}"/>
  <workbookProtection workbookAlgorithmName="SHA-512" workbookHashValue="YQkK+ZPJcyzgP+P4tmxm/V31rLnJH6TvNduoljvnlMPuswLc5dgGx8M1M6MKZy4wVO5fzFlb46Rs2Edds1G5xQ==" workbookSaltValue="eTUckghB2kRPV1n2Bbli4g==" workbookSpinCount="100000" lockStructure="1"/>
  <bookViews>
    <workbookView xWindow="29010" yWindow="195" windowWidth="27150" windowHeight="15165" tabRatio="169" xr2:uid="{00000000-000D-0000-FFFF-FFFF00000000}"/>
  </bookViews>
  <sheets>
    <sheet name="BID SHEE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0" i="1"/>
  <c r="L29" i="1"/>
  <c r="K29" i="1"/>
  <c r="G29" i="1"/>
  <c r="L25" i="1"/>
  <c r="L24" i="1"/>
  <c r="K24" i="1"/>
  <c r="G24" i="1"/>
  <c r="J24" i="1"/>
  <c r="F24" i="1"/>
  <c r="L20" i="1"/>
  <c r="L19" i="1"/>
  <c r="K19" i="1"/>
  <c r="G19" i="1"/>
  <c r="J19" i="1"/>
  <c r="F19" i="1"/>
  <c r="L15" i="1"/>
  <c r="L14" i="1"/>
  <c r="K14" i="1"/>
  <c r="G14" i="1"/>
  <c r="J14" i="1"/>
  <c r="F14" i="1"/>
  <c r="L10" i="1"/>
  <c r="L9" i="1"/>
  <c r="K9" i="1"/>
  <c r="G9" i="1"/>
  <c r="J9" i="1"/>
  <c r="F9" i="1"/>
</calcChain>
</file>

<file path=xl/sharedStrings.xml><?xml version="1.0" encoding="utf-8"?>
<sst xmlns="http://schemas.openxmlformats.org/spreadsheetml/2006/main" count="95" uniqueCount="38">
  <si>
    <t xml:space="preserve">NORTH TEXAS TOLLWAY AUTHORITY </t>
  </si>
  <si>
    <t xml:space="preserve">ITEM No. </t>
  </si>
  <si>
    <t xml:space="preserve">DESCRIPTION </t>
  </si>
  <si>
    <t xml:space="preserve">DATE </t>
  </si>
  <si>
    <t>COMPANY NAME (PRINTED)</t>
  </si>
  <si>
    <t>AUTHORIZED AGENT (PRINTED)</t>
  </si>
  <si>
    <t xml:space="preserve">SIGNATURE  </t>
  </si>
  <si>
    <t>This quote will remain valid for 180 days from receipt.</t>
  </si>
  <si>
    <t>BID SHEET</t>
  </si>
  <si>
    <t>Making changes to this Quote Sheet may result in your quote being disqualified.</t>
  </si>
  <si>
    <t>By signing this Quote Sheet, you acknowledge and agree to all addenda related to this solicitation.</t>
  </si>
  <si>
    <t xml:space="preserve">Sign and return this Quote Sheet.
</t>
  </si>
  <si>
    <t>06507-NTT-00-GS-MA</t>
  </si>
  <si>
    <t>Janitorial Services for Ancillary Facilities</t>
  </si>
  <si>
    <t>FRISCO OPERATIONS CENTER - 11110 RESEARCH RD, FRISCO TEXAS 75033</t>
  </si>
  <si>
    <t>TOTAL CLEANING SQ. FT.</t>
  </si>
  <si>
    <t>COST PER SQ. FT.</t>
  </si>
  <si>
    <t>MONTHLY COST</t>
  </si>
  <si>
    <t>TOTAL                         YEAR 1</t>
  </si>
  <si>
    <t>TOTAL                         YEAR 2</t>
  </si>
  <si>
    <t>EXTENDED TOTAL FOR 2 YEARS</t>
  </si>
  <si>
    <t>YEAR 1</t>
  </si>
  <si>
    <t>YEAR 2</t>
  </si>
  <si>
    <t>SUBTOTAL</t>
  </si>
  <si>
    <t>PLANO OPERATIONS CENTER - 1080 OHIO DR, PLANO TEXAS 75093</t>
  </si>
  <si>
    <t>MLP-3 OFFICES - 2803 DALLAS PARKWAY, PLANO TEXAS 75093</t>
  </si>
  <si>
    <t>MLP-4 OFFICES - 10350 DALLAS PARKWAY, FRISCO TEXAS 75034</t>
  </si>
  <si>
    <t>DAY PORTER SERVICE</t>
  </si>
  <si>
    <t>ANNUAL HOURS</t>
  </si>
  <si>
    <t>HOURLY RATE</t>
  </si>
  <si>
    <t>DESCRIPTION OF SERVICE</t>
  </si>
  <si>
    <t>PER VISIT CHARGE</t>
  </si>
  <si>
    <t>Deep Clean Infection Control</t>
  </si>
  <si>
    <t>$</t>
  </si>
  <si>
    <t>6 Days of Cleaning (Sunday - Friday Night)</t>
  </si>
  <si>
    <t>5 Days of Cleaning (Sunday - Thursday Night)</t>
  </si>
  <si>
    <t>5 Days of cleaning, day porter service for 2,080 hours per year</t>
  </si>
  <si>
    <t>TOTAL 2-YEAR BID                   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</si>
</sst>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6"/>
      <color rgb="FFFF0000"/>
      <name val="Times New Roman"/>
      <family val="1"/>
    </font>
    <font>
      <b/>
      <sz val="15"/>
      <name val="Times New Roman"/>
      <family val="1"/>
    </font>
    <font>
      <b/>
      <sz val="16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6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Protection="1"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164" fontId="10" fillId="0" borderId="26" xfId="0" applyNumberFormat="1" applyFont="1" applyBorder="1" applyAlignment="1">
      <alignment horizontal="center" vertical="center" wrapText="1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164" fontId="6" fillId="0" borderId="6" xfId="0" applyNumberFormat="1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2" fillId="0" borderId="0" xfId="0" applyFont="1" applyBorder="1" applyProtection="1"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3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3" fontId="3" fillId="0" borderId="6" xfId="0" applyNumberFormat="1" applyFont="1" applyBorder="1" applyAlignment="1">
      <alignment horizontal="center" vertical="center" wrapText="1"/>
    </xf>
    <xf numFmtId="164" fontId="3" fillId="0" borderId="13" xfId="0" applyNumberFormat="1" applyFont="1" applyBorder="1" applyAlignment="1" applyProtection="1">
      <alignment horizontal="center" vertical="center" wrapText="1"/>
      <protection locked="0"/>
    </xf>
    <xf numFmtId="164" fontId="15" fillId="0" borderId="6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164" fontId="3" fillId="0" borderId="8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164" fontId="6" fillId="0" borderId="6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164" fontId="15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0" xfId="0" applyFont="1" applyFill="1" applyBorder="1" applyAlignment="1" applyProtection="1">
      <alignment vertical="center"/>
      <protection locked="0"/>
    </xf>
    <xf numFmtId="0" fontId="12" fillId="0" borderId="21" xfId="0" applyFont="1" applyFill="1" applyBorder="1" applyAlignment="1" applyProtection="1">
      <alignment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7" xfId="0" applyFont="1" applyFill="1" applyBorder="1" applyAlignment="1" applyProtection="1">
      <alignment horizontal="center" vertical="center"/>
      <protection locked="0"/>
    </xf>
    <xf numFmtId="0" fontId="13" fillId="4" borderId="24" xfId="0" applyFont="1" applyFill="1" applyBorder="1" applyAlignment="1" applyProtection="1">
      <alignment horizontal="center" vertical="center"/>
      <protection locked="0"/>
    </xf>
    <xf numFmtId="0" fontId="13" fillId="4" borderId="16" xfId="0" applyFont="1" applyFill="1" applyBorder="1" applyAlignment="1" applyProtection="1">
      <alignment horizontal="center" vertical="center"/>
      <protection locked="0"/>
    </xf>
    <xf numFmtId="0" fontId="13" fillId="4" borderId="15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left" vertical="center" wrapText="1"/>
      <protection locked="0"/>
    </xf>
    <xf numFmtId="0" fontId="3" fillId="0" borderId="23" xfId="0" applyFont="1" applyFill="1" applyBorder="1" applyAlignment="1" applyProtection="1">
      <alignment horizontal="center" vertical="center" wrapText="1"/>
      <protection locked="0"/>
    </xf>
    <xf numFmtId="3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18" xfId="0" applyFont="1" applyFill="1" applyBorder="1" applyAlignment="1" applyProtection="1">
      <alignment horizontal="center" vertical="center" wrapText="1"/>
      <protection locked="0"/>
    </xf>
    <xf numFmtId="0" fontId="9" fillId="5" borderId="19" xfId="0" applyFont="1" applyFill="1" applyBorder="1" applyAlignment="1" applyProtection="1">
      <alignment horizontal="center" vertical="center" wrapText="1"/>
      <protection locked="0"/>
    </xf>
    <xf numFmtId="164" fontId="8" fillId="5" borderId="12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 applyProtection="1">
      <alignment vertical="center" wrapText="1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3" borderId="2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horizontal="center" vertical="center"/>
      <protection locked="0"/>
    </xf>
    <xf numFmtId="0" fontId="16" fillId="3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D9D9D9"/>
      <color rgb="FF7099CA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2"/>
  <sheetViews>
    <sheetView tabSelected="1" zoomScale="90" zoomScaleNormal="90" workbookViewId="0">
      <selection activeCell="J14" sqref="J14"/>
    </sheetView>
  </sheetViews>
  <sheetFormatPr defaultColWidth="8.88671875" defaultRowHeight="13.8" x14ac:dyDescent="0.25"/>
  <cols>
    <col min="1" max="1" width="3.5546875" style="1" customWidth="1"/>
    <col min="2" max="2" width="11.44140625" style="8" customWidth="1"/>
    <col min="3" max="3" width="86.109375" style="8" customWidth="1"/>
    <col min="4" max="4" width="16.77734375" style="8" customWidth="1"/>
    <col min="5" max="5" width="16.5546875" style="8" customWidth="1"/>
    <col min="6" max="6" width="17.21875" style="8" customWidth="1"/>
    <col min="7" max="7" width="18.77734375" style="8" customWidth="1"/>
    <col min="8" max="8" width="17.109375" style="1" customWidth="1"/>
    <col min="9" max="9" width="17" style="1" customWidth="1"/>
    <col min="10" max="10" width="17.77734375" style="1" customWidth="1"/>
    <col min="11" max="11" width="18.109375" style="1" customWidth="1"/>
    <col min="12" max="12" width="23.109375" style="1" customWidth="1"/>
    <col min="13" max="16384" width="8.88671875" style="1"/>
  </cols>
  <sheetData>
    <row r="1" spans="2:12" ht="20.399999999999999" x14ac:dyDescent="0.25">
      <c r="B1" s="84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6"/>
    </row>
    <row r="2" spans="2:12" ht="20.399999999999999" x14ac:dyDescent="0.25">
      <c r="B2" s="87" t="s">
        <v>8</v>
      </c>
      <c r="C2" s="88"/>
      <c r="D2" s="88"/>
      <c r="E2" s="88"/>
      <c r="F2" s="88"/>
      <c r="G2" s="88"/>
      <c r="H2" s="88"/>
      <c r="I2" s="88"/>
      <c r="J2" s="88"/>
      <c r="K2" s="88"/>
      <c r="L2" s="89"/>
    </row>
    <row r="3" spans="2:12" ht="20.399999999999999" x14ac:dyDescent="0.25">
      <c r="B3" s="87" t="s">
        <v>12</v>
      </c>
      <c r="C3" s="88"/>
      <c r="D3" s="88"/>
      <c r="E3" s="88"/>
      <c r="F3" s="88"/>
      <c r="G3" s="88"/>
      <c r="H3" s="88"/>
      <c r="I3" s="88"/>
      <c r="J3" s="88"/>
      <c r="K3" s="88"/>
      <c r="L3" s="89"/>
    </row>
    <row r="4" spans="2:12" ht="20.399999999999999" x14ac:dyDescent="0.25">
      <c r="B4" s="87" t="s">
        <v>13</v>
      </c>
      <c r="C4" s="88"/>
      <c r="D4" s="88"/>
      <c r="E4" s="88"/>
      <c r="F4" s="88"/>
      <c r="G4" s="88"/>
      <c r="H4" s="88"/>
      <c r="I4" s="88"/>
      <c r="J4" s="88"/>
      <c r="K4" s="88"/>
      <c r="L4" s="89"/>
    </row>
    <row r="5" spans="2:12" ht="25.8" customHeight="1" x14ac:dyDescent="0.25">
      <c r="B5" s="52" t="s">
        <v>7</v>
      </c>
      <c r="C5" s="53"/>
      <c r="D5" s="53"/>
      <c r="E5" s="53"/>
      <c r="F5" s="53"/>
      <c r="G5" s="53"/>
      <c r="H5" s="53"/>
      <c r="I5" s="53"/>
      <c r="J5" s="53"/>
      <c r="K5" s="53"/>
      <c r="L5" s="54"/>
    </row>
    <row r="6" spans="2:12" ht="23.4" customHeight="1" x14ac:dyDescent="0.25">
      <c r="B6" s="73" t="s">
        <v>14</v>
      </c>
      <c r="C6" s="74"/>
      <c r="D6" s="74"/>
      <c r="E6" s="74"/>
      <c r="F6" s="74"/>
      <c r="G6" s="74"/>
      <c r="H6" s="74"/>
      <c r="I6" s="74"/>
      <c r="J6" s="74"/>
      <c r="K6" s="74"/>
      <c r="L6" s="75"/>
    </row>
    <row r="7" spans="2:12" ht="24.6" customHeight="1" x14ac:dyDescent="0.25">
      <c r="B7" s="68"/>
      <c r="C7" s="69"/>
      <c r="D7" s="70" t="s">
        <v>21</v>
      </c>
      <c r="E7" s="71"/>
      <c r="F7" s="71"/>
      <c r="G7" s="72"/>
      <c r="H7" s="70" t="s">
        <v>22</v>
      </c>
      <c r="I7" s="71"/>
      <c r="J7" s="71"/>
      <c r="K7" s="72"/>
      <c r="L7" s="37"/>
    </row>
    <row r="8" spans="2:12" ht="59.4" customHeight="1" x14ac:dyDescent="0.25">
      <c r="B8" s="2" t="s">
        <v>1</v>
      </c>
      <c r="C8" s="3" t="s">
        <v>2</v>
      </c>
      <c r="D8" s="3" t="s">
        <v>15</v>
      </c>
      <c r="E8" s="4" t="s">
        <v>16</v>
      </c>
      <c r="F8" s="4" t="s">
        <v>17</v>
      </c>
      <c r="G8" s="24" t="s">
        <v>18</v>
      </c>
      <c r="H8" s="10" t="s">
        <v>15</v>
      </c>
      <c r="I8" s="4" t="s">
        <v>16</v>
      </c>
      <c r="J8" s="4" t="s">
        <v>17</v>
      </c>
      <c r="K8" s="5" t="s">
        <v>19</v>
      </c>
      <c r="L8" s="5" t="s">
        <v>20</v>
      </c>
    </row>
    <row r="9" spans="2:12" s="56" customFormat="1" ht="41.4" customHeight="1" x14ac:dyDescent="0.3">
      <c r="B9" s="57">
        <v>1</v>
      </c>
      <c r="C9" s="58" t="s">
        <v>34</v>
      </c>
      <c r="D9" s="59">
        <v>10846</v>
      </c>
      <c r="E9" s="60"/>
      <c r="F9" s="60">
        <f>SUM(D9*E9)</f>
        <v>0</v>
      </c>
      <c r="G9" s="61">
        <f>SUM(F9*12)</f>
        <v>0</v>
      </c>
      <c r="H9" s="59">
        <v>10846</v>
      </c>
      <c r="I9" s="62"/>
      <c r="J9" s="60">
        <f>SUM(H9*I9)</f>
        <v>0</v>
      </c>
      <c r="K9" s="61">
        <f>SUM(J9*12)</f>
        <v>0</v>
      </c>
      <c r="L9" s="63">
        <f>SUM(K9,G9)</f>
        <v>0</v>
      </c>
    </row>
    <row r="10" spans="2:12" s="6" customFormat="1" ht="33" customHeight="1" x14ac:dyDescent="0.3">
      <c r="B10" s="49"/>
      <c r="C10" s="50"/>
      <c r="D10" s="50"/>
      <c r="E10" s="50"/>
      <c r="F10" s="50"/>
      <c r="G10" s="50"/>
      <c r="H10" s="50"/>
      <c r="I10" s="51"/>
      <c r="J10" s="20" t="s">
        <v>23</v>
      </c>
      <c r="K10" s="29"/>
      <c r="L10" s="83">
        <f>SUM(L9)</f>
        <v>0</v>
      </c>
    </row>
    <row r="11" spans="2:12" s="6" customFormat="1" ht="22.8" customHeight="1" x14ac:dyDescent="0.3">
      <c r="B11" s="73" t="s">
        <v>24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2:12" s="6" customFormat="1" ht="28.2" customHeight="1" x14ac:dyDescent="0.3">
      <c r="B12" s="68"/>
      <c r="C12" s="69"/>
      <c r="D12" s="70" t="s">
        <v>21</v>
      </c>
      <c r="E12" s="71"/>
      <c r="F12" s="71"/>
      <c r="G12" s="72"/>
      <c r="H12" s="70" t="s">
        <v>22</v>
      </c>
      <c r="I12" s="71"/>
      <c r="J12" s="71"/>
      <c r="K12" s="72"/>
      <c r="L12" s="39"/>
    </row>
    <row r="13" spans="2:12" s="6" customFormat="1" ht="58.8" customHeight="1" x14ac:dyDescent="0.3">
      <c r="B13" s="2" t="s">
        <v>1</v>
      </c>
      <c r="C13" s="3" t="s">
        <v>2</v>
      </c>
      <c r="D13" s="3" t="s">
        <v>15</v>
      </c>
      <c r="E13" s="4" t="s">
        <v>16</v>
      </c>
      <c r="F13" s="4" t="s">
        <v>17</v>
      </c>
      <c r="G13" s="24" t="s">
        <v>18</v>
      </c>
      <c r="H13" s="10" t="s">
        <v>15</v>
      </c>
      <c r="I13" s="4" t="s">
        <v>16</v>
      </c>
      <c r="J13" s="4" t="s">
        <v>17</v>
      </c>
      <c r="K13" s="5" t="s">
        <v>19</v>
      </c>
      <c r="L13" s="5" t="s">
        <v>20</v>
      </c>
    </row>
    <row r="14" spans="2:12" s="64" customFormat="1" ht="43.2" customHeight="1" x14ac:dyDescent="0.3">
      <c r="B14" s="40">
        <v>2</v>
      </c>
      <c r="C14" s="58" t="s">
        <v>34</v>
      </c>
      <c r="D14" s="55">
        <v>17393</v>
      </c>
      <c r="E14" s="65"/>
      <c r="F14" s="60">
        <f>SUM(D14*E14)</f>
        <v>0</v>
      </c>
      <c r="G14" s="61">
        <f>SUM(F14*12)</f>
        <v>0</v>
      </c>
      <c r="H14" s="55">
        <v>17393</v>
      </c>
      <c r="I14" s="65"/>
      <c r="J14" s="60">
        <f>SUM(H14*I14)</f>
        <v>0</v>
      </c>
      <c r="K14" s="61">
        <f>SUM(J14*12)</f>
        <v>0</v>
      </c>
      <c r="L14" s="63">
        <f>SUM(K14,G14)</f>
        <v>0</v>
      </c>
    </row>
    <row r="15" spans="2:12" s="6" customFormat="1" ht="30" customHeight="1" x14ac:dyDescent="0.3">
      <c r="B15" s="13"/>
      <c r="C15" s="15"/>
      <c r="D15" s="16"/>
      <c r="E15" s="14"/>
      <c r="F15" s="17"/>
      <c r="G15" s="25"/>
      <c r="H15" s="41"/>
      <c r="I15" s="41"/>
      <c r="J15" s="21" t="s">
        <v>23</v>
      </c>
      <c r="K15" s="76"/>
      <c r="L15" s="83">
        <f>SUM(L14)</f>
        <v>0</v>
      </c>
    </row>
    <row r="16" spans="2:12" s="6" customFormat="1" ht="30" customHeight="1" x14ac:dyDescent="0.3">
      <c r="B16" s="73" t="s">
        <v>25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2:12" s="6" customFormat="1" ht="30" customHeight="1" x14ac:dyDescent="0.3">
      <c r="B17" s="23"/>
      <c r="C17" s="22"/>
      <c r="D17" s="70" t="s">
        <v>21</v>
      </c>
      <c r="E17" s="71"/>
      <c r="F17" s="71"/>
      <c r="G17" s="72"/>
      <c r="H17" s="70" t="s">
        <v>22</v>
      </c>
      <c r="I17" s="71"/>
      <c r="J17" s="71"/>
      <c r="K17" s="72"/>
      <c r="L17" s="38"/>
    </row>
    <row r="18" spans="2:12" s="6" customFormat="1" ht="57" customHeight="1" x14ac:dyDescent="0.3">
      <c r="B18" s="2" t="s">
        <v>1</v>
      </c>
      <c r="C18" s="3" t="s">
        <v>2</v>
      </c>
      <c r="D18" s="3" t="s">
        <v>15</v>
      </c>
      <c r="E18" s="4" t="s">
        <v>16</v>
      </c>
      <c r="F18" s="4" t="s">
        <v>17</v>
      </c>
      <c r="G18" s="24" t="s">
        <v>18</v>
      </c>
      <c r="H18" s="10" t="s">
        <v>15</v>
      </c>
      <c r="I18" s="4" t="s">
        <v>16</v>
      </c>
      <c r="J18" s="4" t="s">
        <v>17</v>
      </c>
      <c r="K18" s="5" t="s">
        <v>19</v>
      </c>
      <c r="L18" s="5" t="s">
        <v>20</v>
      </c>
    </row>
    <row r="19" spans="2:12" s="6" customFormat="1" ht="46.8" customHeight="1" x14ac:dyDescent="0.3">
      <c r="B19" s="40">
        <v>3</v>
      </c>
      <c r="C19" s="58" t="s">
        <v>35</v>
      </c>
      <c r="D19" s="55">
        <v>7083</v>
      </c>
      <c r="E19" s="66"/>
      <c r="F19" s="60">
        <f>SUM(D19*E19)</f>
        <v>0</v>
      </c>
      <c r="G19" s="61">
        <f>SUM(F19*12)</f>
        <v>0</v>
      </c>
      <c r="H19" s="55">
        <v>7083</v>
      </c>
      <c r="I19" s="66"/>
      <c r="J19" s="60">
        <f>SUM(H19*I19)</f>
        <v>0</v>
      </c>
      <c r="K19" s="61">
        <f>SUM(J19*12)</f>
        <v>0</v>
      </c>
      <c r="L19" s="63">
        <f>SUM(K19,G19)</f>
        <v>0</v>
      </c>
    </row>
    <row r="20" spans="2:12" s="6" customFormat="1" ht="30" customHeight="1" x14ac:dyDescent="0.3">
      <c r="B20" s="13"/>
      <c r="C20" s="15"/>
      <c r="D20" s="16"/>
      <c r="E20" s="14"/>
      <c r="F20" s="17"/>
      <c r="G20" s="25"/>
      <c r="H20" s="41"/>
      <c r="I20" s="41"/>
      <c r="J20" s="21" t="s">
        <v>23</v>
      </c>
      <c r="K20" s="76"/>
      <c r="L20" s="83">
        <f>SUM(L19)</f>
        <v>0</v>
      </c>
    </row>
    <row r="21" spans="2:12" s="6" customFormat="1" ht="30" customHeight="1" x14ac:dyDescent="0.3">
      <c r="B21" s="73" t="s">
        <v>26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2:12" s="6" customFormat="1" ht="30" customHeight="1" x14ac:dyDescent="0.3">
      <c r="B22" s="13"/>
      <c r="C22" s="15"/>
      <c r="D22" s="70" t="s">
        <v>21</v>
      </c>
      <c r="E22" s="71"/>
      <c r="F22" s="71"/>
      <c r="G22" s="72"/>
      <c r="H22" s="70" t="s">
        <v>22</v>
      </c>
      <c r="I22" s="71"/>
      <c r="J22" s="71"/>
      <c r="K22" s="72"/>
      <c r="L22" s="38"/>
    </row>
    <row r="23" spans="2:12" s="6" customFormat="1" ht="63" customHeight="1" x14ac:dyDescent="0.3">
      <c r="B23" s="2" t="s">
        <v>1</v>
      </c>
      <c r="C23" s="3" t="s">
        <v>2</v>
      </c>
      <c r="D23" s="3" t="s">
        <v>15</v>
      </c>
      <c r="E23" s="4" t="s">
        <v>16</v>
      </c>
      <c r="F23" s="4" t="s">
        <v>17</v>
      </c>
      <c r="G23" s="24" t="s">
        <v>18</v>
      </c>
      <c r="H23" s="10" t="s">
        <v>15</v>
      </c>
      <c r="I23" s="4" t="s">
        <v>16</v>
      </c>
      <c r="J23" s="4" t="s">
        <v>17</v>
      </c>
      <c r="K23" s="5" t="s">
        <v>19</v>
      </c>
      <c r="L23" s="5" t="s">
        <v>20</v>
      </c>
    </row>
    <row r="24" spans="2:12" s="6" customFormat="1" ht="45" customHeight="1" x14ac:dyDescent="0.3">
      <c r="B24" s="40">
        <v>4</v>
      </c>
      <c r="C24" s="58" t="s">
        <v>35</v>
      </c>
      <c r="D24" s="55">
        <v>3045</v>
      </c>
      <c r="E24" s="66"/>
      <c r="F24" s="60">
        <f>SUM(D24*E24)</f>
        <v>0</v>
      </c>
      <c r="G24" s="61">
        <f>SUM(F24*12)</f>
        <v>0</v>
      </c>
      <c r="H24" s="55">
        <v>3045</v>
      </c>
      <c r="I24" s="66"/>
      <c r="J24" s="60">
        <f>SUM(H24*I24)</f>
        <v>0</v>
      </c>
      <c r="K24" s="61">
        <f>SUM(J24*12)</f>
        <v>0</v>
      </c>
      <c r="L24" s="63">
        <f>SUM(K24,G24)</f>
        <v>0</v>
      </c>
    </row>
    <row r="25" spans="2:12" ht="30" customHeight="1" x14ac:dyDescent="0.25">
      <c r="B25" s="18"/>
      <c r="C25" s="19"/>
      <c r="D25" s="19"/>
      <c r="E25" s="19"/>
      <c r="F25" s="19"/>
      <c r="G25" s="27"/>
      <c r="H25" s="42"/>
      <c r="I25" s="42"/>
      <c r="J25" s="21" t="s">
        <v>23</v>
      </c>
      <c r="K25" s="76"/>
      <c r="L25" s="83">
        <f>SUM(L24)</f>
        <v>0</v>
      </c>
    </row>
    <row r="26" spans="2:12" ht="30.6" customHeight="1" x14ac:dyDescent="0.25">
      <c r="B26" s="73" t="s">
        <v>27</v>
      </c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2:12" ht="33" customHeight="1" x14ac:dyDescent="0.25">
      <c r="B27" s="18"/>
      <c r="C27" s="19"/>
      <c r="D27" s="70" t="s">
        <v>21</v>
      </c>
      <c r="E27" s="71"/>
      <c r="F27" s="71"/>
      <c r="G27" s="72"/>
      <c r="H27" s="70" t="s">
        <v>22</v>
      </c>
      <c r="I27" s="71"/>
      <c r="J27" s="71"/>
      <c r="K27" s="72"/>
      <c r="L27" s="37"/>
    </row>
    <row r="28" spans="2:12" ht="56.4" customHeight="1" x14ac:dyDescent="0.25">
      <c r="B28" s="2" t="s">
        <v>1</v>
      </c>
      <c r="C28" s="3" t="s">
        <v>2</v>
      </c>
      <c r="D28" s="20" t="s">
        <v>28</v>
      </c>
      <c r="E28" s="29"/>
      <c r="F28" s="4" t="s">
        <v>29</v>
      </c>
      <c r="G28" s="24" t="s">
        <v>18</v>
      </c>
      <c r="H28" s="20" t="s">
        <v>28</v>
      </c>
      <c r="I28" s="29"/>
      <c r="J28" s="4" t="s">
        <v>29</v>
      </c>
      <c r="K28" s="5" t="s">
        <v>19</v>
      </c>
      <c r="L28" s="5" t="s">
        <v>20</v>
      </c>
    </row>
    <row r="29" spans="2:12" ht="42.6" customHeight="1" x14ac:dyDescent="0.25">
      <c r="B29" s="40">
        <v>5</v>
      </c>
      <c r="C29" s="77" t="s">
        <v>36</v>
      </c>
      <c r="D29" s="79">
        <v>2080</v>
      </c>
      <c r="E29" s="78"/>
      <c r="F29" s="66"/>
      <c r="G29" s="67">
        <f>SUM(D29*F29)</f>
        <v>0</v>
      </c>
      <c r="H29" s="79">
        <v>2080</v>
      </c>
      <c r="I29" s="78"/>
      <c r="J29" s="66"/>
      <c r="K29" s="67">
        <f>SUM(H29*J29)</f>
        <v>0</v>
      </c>
      <c r="L29" s="63">
        <f>SUM(K29,G29)</f>
        <v>0</v>
      </c>
    </row>
    <row r="30" spans="2:12" ht="31.2" customHeight="1" x14ac:dyDescent="0.25">
      <c r="B30" s="18"/>
      <c r="C30" s="19"/>
      <c r="D30" s="19"/>
      <c r="E30" s="19"/>
      <c r="F30" s="19"/>
      <c r="G30" s="26"/>
      <c r="H30" s="42"/>
      <c r="I30" s="42"/>
      <c r="J30" s="20" t="s">
        <v>23</v>
      </c>
      <c r="K30" s="29"/>
      <c r="L30" s="83">
        <f>SUM(L29)</f>
        <v>0</v>
      </c>
    </row>
    <row r="31" spans="2:12" ht="24.9" customHeight="1" thickBot="1" x14ac:dyDescent="0.3">
      <c r="B31" s="18"/>
      <c r="C31" s="19"/>
      <c r="D31" s="19"/>
      <c r="E31" s="19"/>
      <c r="F31" s="19"/>
      <c r="G31" s="26"/>
      <c r="H31" s="42"/>
      <c r="I31" s="42"/>
      <c r="J31" s="42"/>
      <c r="K31" s="42"/>
      <c r="L31" s="37"/>
    </row>
    <row r="32" spans="2:12" ht="44.4" customHeight="1" thickBot="1" x14ac:dyDescent="0.3">
      <c r="B32" s="18"/>
      <c r="C32" s="3" t="s">
        <v>30</v>
      </c>
      <c r="D32" s="3" t="s">
        <v>31</v>
      </c>
      <c r="E32" s="19"/>
      <c r="F32" s="19"/>
      <c r="G32" s="26"/>
      <c r="H32" s="42"/>
      <c r="I32" s="42"/>
      <c r="J32" s="80" t="s">
        <v>37</v>
      </c>
      <c r="K32" s="81"/>
      <c r="L32" s="82">
        <f>SUM(L30,L25,L20,L15,L10)</f>
        <v>0</v>
      </c>
    </row>
    <row r="33" spans="2:12" ht="42" customHeight="1" x14ac:dyDescent="0.25">
      <c r="B33" s="18"/>
      <c r="C33" s="32" t="s">
        <v>32</v>
      </c>
      <c r="D33" s="33" t="s">
        <v>33</v>
      </c>
      <c r="E33" s="19"/>
      <c r="F33" s="19"/>
      <c r="G33" s="26"/>
      <c r="H33" s="42"/>
      <c r="I33" s="42"/>
      <c r="J33" s="42"/>
      <c r="K33" s="42"/>
      <c r="L33" s="37"/>
    </row>
    <row r="34" spans="2:12" ht="24.9" customHeight="1" x14ac:dyDescent="0.25">
      <c r="B34" s="7"/>
      <c r="C34" s="26"/>
      <c r="D34" s="26"/>
      <c r="E34" s="42"/>
      <c r="F34" s="42"/>
      <c r="G34" s="42"/>
      <c r="H34" s="42"/>
      <c r="I34" s="42"/>
      <c r="J34" s="42"/>
      <c r="K34" s="42"/>
      <c r="L34" s="37"/>
    </row>
    <row r="35" spans="2:12" ht="45.75" customHeight="1" thickBot="1" x14ac:dyDescent="0.3">
      <c r="B35" s="11"/>
      <c r="C35" s="12"/>
      <c r="D35" s="26"/>
      <c r="E35" s="26"/>
      <c r="F35" s="34"/>
      <c r="G35" s="34"/>
      <c r="H35" s="34"/>
      <c r="I35" s="34"/>
      <c r="J35" s="42"/>
      <c r="K35" s="42"/>
      <c r="L35" s="37"/>
    </row>
    <row r="36" spans="2:12" ht="24.9" customHeight="1" x14ac:dyDescent="0.25">
      <c r="B36" s="43" t="s">
        <v>4</v>
      </c>
      <c r="C36" s="30"/>
      <c r="D36" s="28"/>
      <c r="E36" s="28"/>
      <c r="F36" s="30" t="s">
        <v>6</v>
      </c>
      <c r="G36" s="30"/>
      <c r="H36" s="30"/>
      <c r="I36" s="30"/>
      <c r="J36" s="42"/>
      <c r="K36" s="42"/>
      <c r="L36" s="37"/>
    </row>
    <row r="37" spans="2:12" ht="57" customHeight="1" thickBot="1" x14ac:dyDescent="0.3">
      <c r="B37" s="11"/>
      <c r="C37" s="12"/>
      <c r="D37" s="28"/>
      <c r="E37" s="28"/>
      <c r="F37" s="35"/>
      <c r="G37" s="35"/>
      <c r="H37" s="35"/>
      <c r="I37" s="35"/>
      <c r="J37" s="42"/>
      <c r="K37" s="42"/>
      <c r="L37" s="37"/>
    </row>
    <row r="38" spans="2:12" ht="24.9" customHeight="1" x14ac:dyDescent="0.25">
      <c r="B38" s="43" t="s">
        <v>5</v>
      </c>
      <c r="C38" s="30"/>
      <c r="D38" s="28"/>
      <c r="E38" s="28"/>
      <c r="F38" s="30" t="s">
        <v>3</v>
      </c>
      <c r="G38" s="30"/>
      <c r="H38" s="30"/>
      <c r="I38" s="30"/>
      <c r="J38" s="42"/>
      <c r="K38" s="42"/>
      <c r="L38" s="37"/>
    </row>
    <row r="39" spans="2:12" ht="16.8" customHeight="1" x14ac:dyDescent="0.25">
      <c r="B39" s="9"/>
      <c r="C39" s="31"/>
      <c r="D39" s="31"/>
      <c r="E39" s="31"/>
      <c r="F39" s="31"/>
      <c r="G39" s="31"/>
      <c r="H39" s="42"/>
      <c r="I39" s="42"/>
      <c r="J39" s="42"/>
      <c r="K39" s="42"/>
      <c r="L39" s="37"/>
    </row>
    <row r="40" spans="2:12" ht="21" customHeight="1" x14ac:dyDescent="0.25">
      <c r="B40" s="44" t="s">
        <v>11</v>
      </c>
      <c r="C40" s="36"/>
      <c r="D40" s="36"/>
      <c r="E40" s="36"/>
      <c r="F40" s="36"/>
      <c r="G40" s="36"/>
      <c r="H40" s="36"/>
      <c r="I40" s="36"/>
      <c r="J40" s="36"/>
      <c r="K40" s="36"/>
      <c r="L40" s="45"/>
    </row>
    <row r="41" spans="2:12" ht="21" customHeight="1" x14ac:dyDescent="0.25">
      <c r="B41" s="44" t="s">
        <v>9</v>
      </c>
      <c r="C41" s="36"/>
      <c r="D41" s="36"/>
      <c r="E41" s="36"/>
      <c r="F41" s="36"/>
      <c r="G41" s="36"/>
      <c r="H41" s="36"/>
      <c r="I41" s="36"/>
      <c r="J41" s="36"/>
      <c r="K41" s="36"/>
      <c r="L41" s="45"/>
    </row>
    <row r="42" spans="2:12" ht="21" customHeight="1" thickBot="1" x14ac:dyDescent="0.3">
      <c r="B42" s="46" t="s">
        <v>10</v>
      </c>
      <c r="C42" s="47"/>
      <c r="D42" s="47"/>
      <c r="E42" s="47"/>
      <c r="F42" s="47"/>
      <c r="G42" s="47"/>
      <c r="H42" s="47"/>
      <c r="I42" s="47"/>
      <c r="J42" s="47"/>
      <c r="K42" s="47"/>
      <c r="L42" s="48"/>
    </row>
  </sheetData>
  <sheetProtection algorithmName="SHA-512" hashValue="oCGj00pj3bRW62sNpBPB7QAJ+HpP2S45kANKD4mqUDAIAoX5MmxxGzl2bvkm3DS/wsb+tutHq9CzKkKpjz+mMQ==" saltValue="4lmDVmKaRel1HvHAvkyWew==" spinCount="100000" sheet="1" selectLockedCells="1"/>
  <protectedRanges>
    <protectedRange algorithmName="SHA-512" hashValue="QY0SXVlEsBJ1AmTtQmmF81MQmzFvPDItWuiK7NR/NkBRi7nqt3LRGOYyw5iouHIfvdu7MmikBcZKD1xwDT/dTg==" saltValue="8mQWLq4iYP/6s5Edu5n8iQ==" spinCount="100000" sqref="K32 J27:J30 F35 G38 F37 F39:F1048576 J7:J10 J12:J15 J17:J20 F1:F33 J22:J25" name="Range1"/>
  </protectedRanges>
  <mergeCells count="43">
    <mergeCell ref="F35:I35"/>
    <mergeCell ref="F37:I37"/>
    <mergeCell ref="B40:L40"/>
    <mergeCell ref="B41:L41"/>
    <mergeCell ref="B42:L42"/>
    <mergeCell ref="B26:L26"/>
    <mergeCell ref="D27:G27"/>
    <mergeCell ref="H27:K27"/>
    <mergeCell ref="J30:K30"/>
    <mergeCell ref="D28:E28"/>
    <mergeCell ref="H28:I28"/>
    <mergeCell ref="D29:E29"/>
    <mergeCell ref="H29:I29"/>
    <mergeCell ref="J20:K20"/>
    <mergeCell ref="B21:L21"/>
    <mergeCell ref="D22:G22"/>
    <mergeCell ref="H22:K22"/>
    <mergeCell ref="J25:K25"/>
    <mergeCell ref="J15:K15"/>
    <mergeCell ref="B16:L16"/>
    <mergeCell ref="B17:C17"/>
    <mergeCell ref="D17:G17"/>
    <mergeCell ref="H17:K17"/>
    <mergeCell ref="J10:K10"/>
    <mergeCell ref="C10:I10"/>
    <mergeCell ref="B11:L11"/>
    <mergeCell ref="D12:G12"/>
    <mergeCell ref="H12:K12"/>
    <mergeCell ref="F36:I36"/>
    <mergeCell ref="F38:I38"/>
    <mergeCell ref="J32:K32"/>
    <mergeCell ref="B1:L1"/>
    <mergeCell ref="B2:L2"/>
    <mergeCell ref="B3:L3"/>
    <mergeCell ref="B4:L4"/>
    <mergeCell ref="B5:L5"/>
    <mergeCell ref="B6:L6"/>
    <mergeCell ref="D7:G7"/>
    <mergeCell ref="H7:K7"/>
    <mergeCell ref="B35:C35"/>
    <mergeCell ref="B37:C37"/>
    <mergeCell ref="B36:C36"/>
    <mergeCell ref="B38:C38"/>
  </mergeCells>
  <pageMargins left="0.25" right="0.25" top="0.75" bottom="0.75" header="0.3" footer="0.3"/>
  <pageSetup scale="55" orientation="portrait" r:id="rId1"/>
  <headerFooter>
    <oddFooter>&amp;R&amp;"Times New Roman,Bold"&amp;9 Rev. February 2023</oddFooter>
  </headerFooter>
</worksheet>
</file>

<file path=docMetadata/LabelInfo.xml><?xml version="1.0" encoding="utf-8"?>
<clbl:labelList xmlns:clbl="http://schemas.microsoft.com/office/2020/mipLabelMetadata">
  <clbl:label id="{5000d0ef-69b3-43bd-9d2f-a8fb78391700}" enabled="0" method="" siteId="{5000d0ef-69b3-43bd-9d2f-a8fb783917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SHEET </vt:lpstr>
    </vt:vector>
  </TitlesOfParts>
  <Company>NTTA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Valentine, Reginald</dc:creator>
  <cp:lastModifiedBy>Kimberly Madewell</cp:lastModifiedBy>
  <cp:lastPrinted>2026-02-12T19:48:43Z</cp:lastPrinted>
  <dcterms:created xsi:type="dcterms:W3CDTF">2015-08-11T20:55:25Z</dcterms:created>
  <dcterms:modified xsi:type="dcterms:W3CDTF">2026-09-14T20:26:00Z</dcterms:modified>
</cp:coreProperties>
</file>