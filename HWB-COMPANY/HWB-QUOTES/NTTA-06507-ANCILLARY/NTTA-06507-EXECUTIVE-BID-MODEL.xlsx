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NTTA_Official_Bid_Sheet" sheetId="2" state="visible" r:id="rId2"/>
    <sheet xmlns:r="http://schemas.openxmlformats.org/officeDocument/2006/relationships" name="Shift_Labor_Model" sheetId="3" state="visible" r:id="rId3"/>
    <sheet xmlns:r="http://schemas.openxmlformats.org/officeDocument/2006/relationships" name="Facility_SqFt_Takeoff" sheetId="4" state="visible" r:id="rId4"/>
    <sheet xmlns:r="http://schemas.openxmlformats.org/officeDocument/2006/relationships" name="Cash_Flow_Flo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1E3A8A"/>
      <sz val="9"/>
    </font>
    <font>
      <name val="Calibri"/>
      <b val="1"/>
      <color rgb="000F172A"/>
      <sz val="14"/>
    </font>
    <font>
      <name val="Calibri"/>
      <i val="1"/>
      <color rgb="0064748B"/>
      <sz val="8.5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0F172A"/>
      <sz val="9.5"/>
    </font>
    <font>
      <name val="Calibri"/>
      <color rgb="001E293B"/>
      <sz val="9.5"/>
    </font>
    <font>
      <name val="Calibri"/>
      <b val="1"/>
      <color rgb="00065F46"/>
      <sz val="9.5"/>
    </font>
    <font>
      <name val="Calibri"/>
      <b val="1"/>
      <color rgb="000F172A"/>
      <sz val="13"/>
    </font>
    <font>
      <name val="Calibri"/>
      <b val="1"/>
      <color rgb="000F172A"/>
      <sz val="11"/>
    </font>
    <font>
      <name val="Calibri"/>
      <b val="1"/>
      <color rgb="000F172A"/>
      <sz val="10"/>
    </font>
    <font>
      <name val="Calibri"/>
      <i val="1"/>
      <sz val="10"/>
    </font>
    <font>
      <name val="Calibri"/>
      <i val="1"/>
      <color rgb="00475569"/>
      <sz val="9"/>
    </font>
    <font>
      <name val="Calibri"/>
      <color rgb="00991B1B"/>
      <sz val="9.5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ECFDF5"/>
        <bgColor rgb="00ECFDF5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2" fillId="5" borderId="0" pivotButton="0" quotePrefix="0" xfId="0"/>
    <xf numFmtId="0" fontId="7" fillId="6" borderId="0" applyAlignment="1" pivotButton="0" quotePrefix="0" xfId="0">
      <alignment horizontal="center"/>
    </xf>
    <xf numFmtId="0" fontId="3" fillId="10" borderId="0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12" fillId="8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right" vertical="center"/>
    </xf>
    <xf numFmtId="165" fontId="9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right" vertical="center"/>
    </xf>
    <xf numFmtId="165" fontId="8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center" vertical="center"/>
    </xf>
    <xf numFmtId="2" fontId="9" fillId="7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center" vertical="center"/>
    </xf>
    <xf numFmtId="2" fontId="8" fillId="8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right" vertical="center"/>
    </xf>
    <xf numFmtId="164" fontId="16" fillId="7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6" customWidth="1" min="4" max="4"/>
    <col width="18" customWidth="1" min="5" max="5"/>
    <col width="18" customWidth="1" min="6" max="6"/>
    <col width="18" customWidth="1" min="7" max="7"/>
    <col width="42" customWidth="1" min="8" max="8"/>
  </cols>
  <sheetData>
    <row r="1" ht="36" customHeight="1">
      <c r="A1" s="1" t="inlineStr">
        <is>
          <t>HWB CLEANING SERVICES LLC — NTTA CONTRACT 06507 EXECUTIVE BID MODEL</t>
        </is>
      </c>
    </row>
    <row r="2" ht="22" customHeight="1">
      <c r="A2" s="2" t="inlineStr">
        <is>
          <t>Sol. B2600001083 | Ancillary Janitorial (Frisco, Plano, MLP-3, MLP-4 &amp; 5 Stockpile Restrooms)</t>
        </is>
      </c>
    </row>
    <row r="4" ht="18" customHeight="1">
      <c r="A4" s="3" t="inlineStr">
        <is>
          <t>TOTAL 2-YEAR BID</t>
        </is>
      </c>
      <c r="B4" s="4" t="n"/>
      <c r="C4" s="3" t="inlineStr">
        <is>
          <t>YEAR 1 COMMITMENT</t>
        </is>
      </c>
      <c r="D4" s="4" t="n"/>
      <c r="E4" s="3" t="inlineStr">
        <is>
          <t>YEAR 2 COMMITMENT</t>
        </is>
      </c>
      <c r="F4" s="4" t="n"/>
      <c r="G4" s="3" t="inlineStr">
        <is>
          <t>60-DAY FLOAT REQUIRED</t>
        </is>
      </c>
      <c r="H4" s="4" t="n"/>
    </row>
    <row r="5" ht="26" customHeight="1">
      <c r="A5" s="5" t="inlineStr">
        <is>
          <t>$273,238.58</t>
        </is>
      </c>
      <c r="B5" s="4" t="n"/>
      <c r="C5" s="5" t="inlineStr">
        <is>
          <t>$134,948.28</t>
        </is>
      </c>
      <c r="D5" s="4" t="n"/>
      <c r="E5" s="5" t="inlineStr">
        <is>
          <t>$138,290.30</t>
        </is>
      </c>
      <c r="F5" s="4" t="n"/>
      <c r="G5" s="5" t="inlineStr">
        <is>
          <t>$21,000.00</t>
        </is>
      </c>
      <c r="H5" s="4" t="n"/>
    </row>
    <row r="6" ht="16" customHeight="1">
      <c r="A6" s="6" t="inlineStr">
        <is>
          <t>NTTA Budget: $276,323.00</t>
        </is>
      </c>
      <c r="B6" s="4" t="n"/>
      <c r="C6" s="6" t="inlineStr">
        <is>
          <t>$11,245.69 / Month</t>
        </is>
      </c>
      <c r="D6" s="4" t="n"/>
      <c r="E6" s="6" t="inlineStr">
        <is>
          <t>$11,524.19 / Month (+2.5%)</t>
        </is>
      </c>
      <c r="F6" s="4" t="n"/>
      <c r="G6" s="6" t="inlineStr">
        <is>
          <t>2 Months Payroll + Mobilization</t>
        </is>
      </c>
      <c r="H6" s="4" t="n"/>
    </row>
    <row r="8" ht="24" customHeight="1">
      <c r="A8" s="7" t="inlineStr">
        <is>
          <t>1.0 STRATEGIC BUDGET COMPARISON: HWB PROPOSAL VS. NTTA ESTIMATE</t>
        </is>
      </c>
    </row>
    <row r="9" ht="22" customHeight="1">
      <c r="A9" s="8" t="inlineStr">
        <is>
          <t>Metric / Component</t>
        </is>
      </c>
      <c r="B9" s="4" t="n"/>
      <c r="C9" s="4" t="n"/>
      <c r="D9" s="9" t="inlineStr">
        <is>
          <t>NTTA Published Estimate</t>
        </is>
      </c>
      <c r="E9" s="9" t="inlineStr">
        <is>
          <t>HWB Option 1 Proposal</t>
        </is>
      </c>
      <c r="F9" s="9" t="inlineStr">
        <is>
          <t>Variance ($)</t>
        </is>
      </c>
      <c r="G9" s="9" t="inlineStr">
        <is>
          <t>Variance (%)</t>
        </is>
      </c>
      <c r="H9" s="8" t="inlineStr">
        <is>
          <t>Operational Impact &amp; Strategic Rationale</t>
        </is>
      </c>
    </row>
    <row r="10" ht="22" customHeight="1">
      <c r="A10" s="10" t="inlineStr">
        <is>
          <t>Total 2-Year Contract Value</t>
        </is>
      </c>
      <c r="B10" s="11" t="n"/>
      <c r="C10" s="11" t="n"/>
      <c r="D10" s="12" t="inlineStr">
        <is>
          <t>$276,323.00</t>
        </is>
      </c>
      <c r="E10" s="13" t="inlineStr">
        <is>
          <t>$273,238.58</t>
        </is>
      </c>
      <c r="F10" s="13" t="inlineStr">
        <is>
          <t>-$3,084.42</t>
        </is>
      </c>
      <c r="G10" s="13" t="inlineStr">
        <is>
          <t>-1.12%</t>
        </is>
      </c>
      <c r="H10" s="14" t="inlineStr">
        <is>
          <t>Lands surgically under NTTA budget to guarantee lowest responsible bid status.</t>
        </is>
      </c>
    </row>
    <row r="11" ht="22" customHeight="1">
      <c r="A11" s="15" t="inlineStr">
        <is>
          <t>Average Annual Commitment</t>
        </is>
      </c>
      <c r="B11" s="16" t="n"/>
      <c r="C11" s="16" t="n"/>
      <c r="D11" s="17" t="inlineStr">
        <is>
          <t>$138,161.50</t>
        </is>
      </c>
      <c r="E11" s="18" t="inlineStr">
        <is>
          <t>$136,619.29</t>
        </is>
      </c>
      <c r="F11" s="18" t="inlineStr">
        <is>
          <t>-$1,542.21</t>
        </is>
      </c>
      <c r="G11" s="18" t="inlineStr">
        <is>
          <t>-1.12%</t>
        </is>
      </c>
      <c r="H11" s="19" t="inlineStr">
        <is>
          <t>Fixed firm-pricing structure per contract terms ($134.9k Yr 1 / $138.3k Yr 2).</t>
        </is>
      </c>
    </row>
    <row r="12" ht="22" customHeight="1">
      <c r="A12" s="10" t="inlineStr">
        <is>
          <t>Average Monthly Billing</t>
        </is>
      </c>
      <c r="B12" s="11" t="n"/>
      <c r="C12" s="11" t="n"/>
      <c r="D12" s="12" t="inlineStr">
        <is>
          <t>$11,513.46</t>
        </is>
      </c>
      <c r="E12" s="13" t="inlineStr">
        <is>
          <t>$11,384.94</t>
        </is>
      </c>
      <c r="F12" s="13" t="inlineStr">
        <is>
          <t>-$128.52</t>
        </is>
      </c>
      <c r="G12" s="13" t="inlineStr">
        <is>
          <t>-1.12%</t>
        </is>
      </c>
      <c r="H12" s="14" t="inlineStr">
        <is>
          <t>Predictable Net 30 recurring municipal cash flow directly from toll authority.</t>
        </is>
      </c>
    </row>
    <row r="13" ht="22" customHeight="1">
      <c r="A13" s="15" t="inlineStr">
        <is>
          <t>Consumable Paper &amp; Soap Debt</t>
        </is>
      </c>
      <c r="B13" s="16" t="n"/>
      <c r="C13" s="16" t="n"/>
      <c r="D13" s="17" t="inlineStr">
        <is>
          <t>$0.00</t>
        </is>
      </c>
      <c r="E13" s="18" t="inlineStr">
        <is>
          <t>$0.00</t>
        </is>
      </c>
      <c r="F13" s="18" t="inlineStr">
        <is>
          <t>$0.00</t>
        </is>
      </c>
      <c r="G13" s="18" t="inlineStr">
        <is>
          <t>0.00%</t>
        </is>
      </c>
      <c r="H13" s="19" t="inlineStr">
        <is>
          <t>NTTA furnishes 100% of paper towels, toilet paper, hand soap, and liners.</t>
        </is>
      </c>
    </row>
    <row r="14" ht="22" customHeight="1">
      <c r="A14" s="10" t="inlineStr">
        <is>
          <t>2-Year Direct Operating Hard Costs</t>
        </is>
      </c>
      <c r="B14" s="11" t="n"/>
      <c r="C14" s="11" t="n"/>
      <c r="D14" s="12" t="inlineStr">
        <is>
          <t>N/A</t>
        </is>
      </c>
      <c r="E14" s="13" t="inlineStr">
        <is>
          <t>$232,729.84</t>
        </is>
      </c>
      <c r="F14" s="13" t="inlineStr">
        <is>
          <t>N/A</t>
        </is>
      </c>
      <c r="G14" s="13" t="inlineStr">
        <is>
          <t>N/A</t>
        </is>
      </c>
      <c r="H14" s="14" t="inlineStr">
        <is>
          <t>Includes 103 weekly labor hours, W-2 payroll burden, fuel, and chemical dilution.</t>
        </is>
      </c>
    </row>
    <row r="15" ht="22" customHeight="1">
      <c r="A15" s="15" t="inlineStr">
        <is>
          <t>2-Year HWB Net Operating Profit (EBITDA)</t>
        </is>
      </c>
      <c r="B15" s="16" t="n"/>
      <c r="C15" s="16" t="n"/>
      <c r="D15" s="17" t="inlineStr">
        <is>
          <t>N/A</t>
        </is>
      </c>
      <c r="E15" s="18" t="inlineStr">
        <is>
          <t>$40,508.74</t>
        </is>
      </c>
      <c r="F15" s="18" t="inlineStr">
        <is>
          <t>N/A</t>
        </is>
      </c>
      <c r="G15" s="18" t="inlineStr">
        <is>
          <t>14.82%</t>
        </is>
      </c>
      <c r="H15" s="19" t="inlineStr">
        <is>
          <t>Pure net margin captured with zero equipment debt and zero supply debt.</t>
        </is>
      </c>
    </row>
    <row r="17" ht="24" customHeight="1">
      <c r="A17" s="7" t="inlineStr">
        <is>
          <t>2.0 TWO-YEAR OPERATING COST &amp; MARGIN UNDERWRITING BREAKDOWN</t>
        </is>
      </c>
    </row>
    <row r="18" ht="22" customHeight="1">
      <c r="A18" s="8" t="inlineStr">
        <is>
          <t>Budget Component / Expense Category</t>
        </is>
      </c>
      <c r="B18" s="4" t="n"/>
      <c r="C18" s="4" t="n"/>
      <c r="D18" s="8" t="inlineStr">
        <is>
          <t>Basis &amp; Volume</t>
        </is>
      </c>
      <c r="E18" s="9" t="inlineStr">
        <is>
          <t>Year 1 Total</t>
        </is>
      </c>
      <c r="F18" s="9" t="inlineStr">
        <is>
          <t>Year 2 Total</t>
        </is>
      </c>
      <c r="G18" s="9" t="inlineStr">
        <is>
          <t>2-Year Total</t>
        </is>
      </c>
      <c r="H18" s="9" t="inlineStr">
        <is>
          <t>Notes &amp; Operational Controls</t>
        </is>
      </c>
    </row>
    <row r="19" ht="22" customHeight="1">
      <c r="A19" s="15" t="inlineStr">
        <is>
          <t>1. Direct Day Porter Labor (W-2)</t>
        </is>
      </c>
      <c r="B19" s="16" t="n"/>
      <c r="C19" s="16" t="n"/>
      <c r="D19" s="17" t="inlineStr">
        <is>
          <t>2,080 Hrs/Yr @ $16.50 base ($19.47 loaded)</t>
        </is>
      </c>
      <c r="E19" s="17" t="inlineStr">
        <is>
          <t>$40,497.60</t>
        </is>
      </c>
      <c r="F19" s="17" t="inlineStr">
        <is>
          <t>$41,510.04</t>
        </is>
      </c>
      <c r="G19" s="17" t="inlineStr">
        <is>
          <t>$82,007.64</t>
        </is>
      </c>
      <c r="H19" s="19" t="inlineStr">
        <is>
          <t>30.01%</t>
        </is>
      </c>
    </row>
    <row r="20" ht="22" customHeight="1">
      <c r="A20" s="10" t="inlineStr">
        <is>
          <t>2. Direct Night Cleaning Labor (W-2)</t>
        </is>
      </c>
      <c r="B20" s="11" t="n"/>
      <c r="C20" s="11" t="n"/>
      <c r="D20" s="12" t="inlineStr">
        <is>
          <t>3,276 Hrs/Yr @ $15.50-$17.00 base ($19.17 loaded)</t>
        </is>
      </c>
      <c r="E20" s="12" t="inlineStr">
        <is>
          <t>$62,817.56</t>
        </is>
      </c>
      <c r="F20" s="12" t="inlineStr">
        <is>
          <t>$64,388.00</t>
        </is>
      </c>
      <c r="G20" s="12" t="inlineStr">
        <is>
          <t>$127,205.56</t>
        </is>
      </c>
      <c r="H20" s="14" t="inlineStr">
        <is>
          <t>46.56%</t>
        </is>
      </c>
    </row>
    <row r="21" ht="22" customHeight="1">
      <c r="A21" s="15" t="inlineStr">
        <is>
          <t>3. Mobile Field Supervision</t>
        </is>
      </c>
      <c r="B21" s="16" t="n"/>
      <c r="C21" s="16" t="n"/>
      <c r="D21" s="17" t="inlineStr">
        <is>
          <t>156 Hrs/Yr @ $22.00 base ($25.96 loaded)</t>
        </is>
      </c>
      <c r="E21" s="17" t="inlineStr">
        <is>
          <t>$4,049.76</t>
        </is>
      </c>
      <c r="F21" s="17" t="inlineStr">
        <is>
          <t>$4,151.00</t>
        </is>
      </c>
      <c r="G21" s="17" t="inlineStr">
        <is>
          <t>$8,200.76</t>
        </is>
      </c>
      <c r="H21" s="19" t="inlineStr">
        <is>
          <t>3.00%</t>
        </is>
      </c>
    </row>
    <row r="22" ht="22" customHeight="1">
      <c r="A22" s="10" t="inlineStr">
        <is>
          <t>4. Vehicle Travel, Fuel &amp; Logistics</t>
        </is>
      </c>
      <c r="B22" s="11" t="n"/>
      <c r="C22" s="11" t="n"/>
      <c r="D22" s="12" t="inlineStr">
        <is>
          <t>12 miles/night sweep + weekly stockpiles</t>
        </is>
      </c>
      <c r="E22" s="12" t="inlineStr">
        <is>
          <t>$3,000.00</t>
        </is>
      </c>
      <c r="F22" s="12" t="inlineStr">
        <is>
          <t>$3,075.00</t>
        </is>
      </c>
      <c r="G22" s="12" t="inlineStr">
        <is>
          <t>$6,075.00</t>
        </is>
      </c>
      <c r="H22" s="14" t="inlineStr">
        <is>
          <t>2.22%</t>
        </is>
      </c>
    </row>
    <row r="23" ht="22" customHeight="1">
      <c r="A23" s="15" t="inlineStr">
        <is>
          <t>5. Chemicals, Disinfectants &amp; Mops</t>
        </is>
      </c>
      <c r="B23" s="16" t="n"/>
      <c r="C23" s="16" t="n"/>
      <c r="D23" s="17" t="inlineStr">
        <is>
          <t>Mondo neutral cleaners, glass, disinfectant</t>
        </is>
      </c>
      <c r="E23" s="17" t="inlineStr">
        <is>
          <t>$3,000.00</t>
        </is>
      </c>
      <c r="F23" s="17" t="inlineStr">
        <is>
          <t>$3,100.00</t>
        </is>
      </c>
      <c r="G23" s="17" t="inlineStr">
        <is>
          <t>$6,100.00</t>
        </is>
      </c>
      <c r="H23" s="19" t="inlineStr">
        <is>
          <t>2.23%</t>
        </is>
      </c>
    </row>
    <row r="24" ht="22" customHeight="1">
      <c r="A24" s="10" t="inlineStr">
        <is>
          <t>6. Insurance, Uniforms &amp; Overhead</t>
        </is>
      </c>
      <c r="B24" s="11" t="n"/>
      <c r="C24" s="11" t="n"/>
      <c r="D24" s="12" t="inlineStr">
        <is>
          <t>CGL, Auto, WC allocation, badging &amp; tests</t>
        </is>
      </c>
      <c r="E24" s="12" t="inlineStr">
        <is>
          <t>$3,140.88</t>
        </is>
      </c>
      <c r="F24" s="12" t="inlineStr">
        <is>
          <t>$3,000.00</t>
        </is>
      </c>
      <c r="G24" s="12" t="inlineStr">
        <is>
          <t>$6,140.88</t>
        </is>
      </c>
      <c r="H24" s="14" t="inlineStr">
        <is>
          <t>2.25%</t>
        </is>
      </c>
    </row>
    <row r="25" ht="22" customHeight="1">
      <c r="A25" s="20" t="inlineStr">
        <is>
          <t>TOTAL OPERATING EXPENSES</t>
        </is>
      </c>
      <c r="B25" s="21" t="n"/>
      <c r="C25" s="21" t="n"/>
      <c r="D25" s="22" t="inlineStr">
        <is>
          <t>Total Out-of-Pocket Hard Costs</t>
        </is>
      </c>
      <c r="E25" s="22" t="inlineStr">
        <is>
          <t>$116,505.80</t>
        </is>
      </c>
      <c r="F25" s="22" t="inlineStr">
        <is>
          <t>$119,224.04</t>
        </is>
      </c>
      <c r="G25" s="23" t="inlineStr">
        <is>
          <t>$235,729.84</t>
        </is>
      </c>
      <c r="H25" s="20" t="inlineStr">
        <is>
          <t>86.27%</t>
        </is>
      </c>
    </row>
    <row r="26" ht="22" customHeight="1">
      <c r="A26" s="24" t="inlineStr">
        <is>
          <t>NET OPERATING PROFIT (EBITDA)</t>
        </is>
      </c>
      <c r="B26" s="25" t="n"/>
      <c r="C26" s="25" t="n"/>
      <c r="D26" s="26" t="inlineStr">
        <is>
          <t>Pure Subcontractor / Prime Margin</t>
        </is>
      </c>
      <c r="E26" s="26" t="inlineStr">
        <is>
          <t>$18,442.48</t>
        </is>
      </c>
      <c r="F26" s="26" t="inlineStr">
        <is>
          <t>$19,066.26</t>
        </is>
      </c>
      <c r="G26" s="26" t="inlineStr">
        <is>
          <t>$37,508.74</t>
        </is>
      </c>
      <c r="H26" s="27" t="inlineStr">
        <is>
          <t>13.73%</t>
        </is>
      </c>
    </row>
    <row r="27" ht="22" customHeight="1">
      <c r="A27" s="28" t="inlineStr">
        <is>
          <t>TOTAL BILLED TO NTTA</t>
        </is>
      </c>
      <c r="B27" s="29" t="n"/>
      <c r="C27" s="29" t="n"/>
      <c r="D27" s="30" t="inlineStr">
        <is>
          <t>Official Contract Schedule Amount</t>
        </is>
      </c>
      <c r="E27" s="30" t="inlineStr">
        <is>
          <t>$134,948.28</t>
        </is>
      </c>
      <c r="F27" s="30" t="inlineStr">
        <is>
          <t>$138,290.30</t>
        </is>
      </c>
      <c r="G27" s="31" t="inlineStr">
        <is>
          <t>$273,238.58</t>
        </is>
      </c>
      <c r="H27" s="28" t="inlineStr">
        <is>
          <t>100.00%</t>
        </is>
      </c>
    </row>
  </sheetData>
  <mergeCells count="33">
    <mergeCell ref="A25:C25"/>
    <mergeCell ref="C6:D6"/>
    <mergeCell ref="C5:D5"/>
    <mergeCell ref="E5:F5"/>
    <mergeCell ref="A18:C18"/>
    <mergeCell ref="A27:C27"/>
    <mergeCell ref="A21:C21"/>
    <mergeCell ref="A1:H1"/>
    <mergeCell ref="A12:C12"/>
    <mergeCell ref="A26:C26"/>
    <mergeCell ref="A6:B6"/>
    <mergeCell ref="C4:D4"/>
    <mergeCell ref="E4:F4"/>
    <mergeCell ref="A23:C23"/>
    <mergeCell ref="A14:C14"/>
    <mergeCell ref="A22:C22"/>
    <mergeCell ref="G6:H6"/>
    <mergeCell ref="A20:C20"/>
    <mergeCell ref="A10:C10"/>
    <mergeCell ref="E6:F6"/>
    <mergeCell ref="A13:C13"/>
    <mergeCell ref="A19:C19"/>
    <mergeCell ref="A2:H2"/>
    <mergeCell ref="A5:B5"/>
    <mergeCell ref="G5:H5"/>
    <mergeCell ref="A9:C9"/>
    <mergeCell ref="A15:C15"/>
    <mergeCell ref="A8:H8"/>
    <mergeCell ref="A24:C24"/>
    <mergeCell ref="A17:H17"/>
    <mergeCell ref="A4:B4"/>
    <mergeCell ref="G4:H4"/>
    <mergeCell ref="A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3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6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22" customWidth="1" min="12" max="12"/>
  </cols>
  <sheetData>
    <row r="1">
      <c r="B1" s="32" t="inlineStr">
        <is>
          <t>NORTH TEXAS TOLLWAY AUTHORITY</t>
        </is>
      </c>
    </row>
    <row r="2">
      <c r="B2" s="33" t="inlineStr">
        <is>
          <t>BID SHEET</t>
        </is>
      </c>
    </row>
    <row r="3">
      <c r="B3" s="34" t="inlineStr">
        <is>
          <t>06507-NTT-00-GS-MA</t>
        </is>
      </c>
    </row>
    <row r="4">
      <c r="B4" s="35" t="inlineStr">
        <is>
          <t>Janitorial Services for Ancillary Facilities</t>
        </is>
      </c>
    </row>
    <row r="5">
      <c r="B5" s="36" t="inlineStr">
        <is>
          <t>This quote will remain valid for 180 days from receipt.</t>
        </is>
      </c>
    </row>
    <row r="6">
      <c r="B6" s="37" t="inlineStr">
        <is>
          <t>FRISCO OPERATIONS CENTER - 11110 RESEARCH RD, FRISCO TEXAS 75033</t>
        </is>
      </c>
    </row>
    <row r="7">
      <c r="D7" s="38" t="inlineStr">
        <is>
          <t>YEAR 1</t>
        </is>
      </c>
      <c r="H7" s="38" t="inlineStr">
        <is>
          <t>YEAR 2</t>
        </is>
      </c>
    </row>
    <row r="8">
      <c r="B8" s="39" t="inlineStr">
        <is>
          <t>ITEM No.</t>
        </is>
      </c>
      <c r="C8" s="39" t="inlineStr">
        <is>
          <t>DESCRIPTION</t>
        </is>
      </c>
      <c r="D8" s="39" t="inlineStr">
        <is>
          <t>TOTAL CLEANING SQ. FT.</t>
        </is>
      </c>
      <c r="E8" s="39" t="inlineStr">
        <is>
          <t>COST PER SQ. FT.</t>
        </is>
      </c>
      <c r="F8" s="39" t="inlineStr">
        <is>
          <t>MONTHLY COST</t>
        </is>
      </c>
      <c r="G8" s="39" t="inlineStr">
        <is>
          <t>TOTAL YEAR 1</t>
        </is>
      </c>
      <c r="H8" s="39" t="inlineStr">
        <is>
          <t>TOTAL CLEANING SQ. FT.</t>
        </is>
      </c>
      <c r="I8" s="39" t="inlineStr">
        <is>
          <t>COST PER SQ. FT.</t>
        </is>
      </c>
      <c r="J8" s="39" t="inlineStr">
        <is>
          <t>MONTHLY COST</t>
        </is>
      </c>
      <c r="K8" s="39" t="inlineStr">
        <is>
          <t>TOTAL YEAR 2</t>
        </is>
      </c>
      <c r="L8" s="39" t="inlineStr">
        <is>
          <t>EXTENDED TOTAL FOR 2 YEARS</t>
        </is>
      </c>
    </row>
    <row r="9">
      <c r="B9" s="4" t="n">
        <v>1</v>
      </c>
      <c r="C9" s="4" t="inlineStr">
        <is>
          <t>6 Days of Cleaning (Sunday - Friday Night)</t>
        </is>
      </c>
      <c r="D9" s="40" t="n">
        <v>10846</v>
      </c>
      <c r="E9" s="41" t="n">
        <v>0.195</v>
      </c>
      <c r="F9" s="41">
        <f>D9*E9</f>
        <v/>
      </c>
      <c r="G9" s="41">
        <f>F9*12</f>
        <v/>
      </c>
      <c r="H9" s="40" t="n">
        <v>10846</v>
      </c>
      <c r="I9" s="41" t="n">
        <v>0.2</v>
      </c>
      <c r="J9" s="41">
        <f>H9*I9</f>
        <v/>
      </c>
      <c r="K9" s="41">
        <f>J9*12</f>
        <v/>
      </c>
      <c r="L9" s="41">
        <f>G9+K9</f>
        <v/>
      </c>
    </row>
    <row r="10">
      <c r="J10" t="inlineStr">
        <is>
          <t>SUBTOTAL</t>
        </is>
      </c>
      <c r="L10">
        <f>L9</f>
        <v/>
      </c>
    </row>
    <row r="11">
      <c r="B11" s="37" t="inlineStr">
        <is>
          <t>PLANO OPERATIONS CENTER - 1080 OHIO DR, PLANO TEXAS 75093</t>
        </is>
      </c>
    </row>
    <row r="12">
      <c r="D12" s="38" t="inlineStr">
        <is>
          <t>YEAR 1</t>
        </is>
      </c>
      <c r="H12" s="38" t="inlineStr">
        <is>
          <t>YEAR 2</t>
        </is>
      </c>
    </row>
    <row r="13">
      <c r="B13" s="39" t="inlineStr">
        <is>
          <t>ITEM No.</t>
        </is>
      </c>
      <c r="C13" s="39" t="inlineStr">
        <is>
          <t>DESCRIPTION</t>
        </is>
      </c>
      <c r="D13" s="39" t="inlineStr">
        <is>
          <t>TOTAL CLEANING SQ. FT.</t>
        </is>
      </c>
      <c r="E13" s="39" t="inlineStr">
        <is>
          <t>COST PER SQ. FT.</t>
        </is>
      </c>
      <c r="F13" s="39" t="inlineStr">
        <is>
          <t>MONTHLY COST</t>
        </is>
      </c>
      <c r="G13" s="39" t="inlineStr">
        <is>
          <t>TOTAL YEAR 1</t>
        </is>
      </c>
      <c r="H13" s="39" t="inlineStr">
        <is>
          <t>TOTAL CLEANING SQ. FT.</t>
        </is>
      </c>
      <c r="I13" s="39" t="inlineStr">
        <is>
          <t>COST PER SQ. FT.</t>
        </is>
      </c>
      <c r="J13" s="39" t="inlineStr">
        <is>
          <t>MONTHLY COST</t>
        </is>
      </c>
      <c r="K13" s="39" t="inlineStr">
        <is>
          <t>TOTAL YEAR 2</t>
        </is>
      </c>
      <c r="L13" s="39" t="inlineStr">
        <is>
          <t>EXTENDED TOTAL FOR 2 YEARS</t>
        </is>
      </c>
    </row>
    <row r="14">
      <c r="B14" s="4" t="n">
        <v>2</v>
      </c>
      <c r="C14" s="4" t="inlineStr">
        <is>
          <t>6 Days of Cleaning (Sunday - Friday Night)</t>
        </is>
      </c>
      <c r="D14" s="40" t="n">
        <v>17393</v>
      </c>
      <c r="E14" s="41" t="n">
        <v>0.19</v>
      </c>
      <c r="F14" s="41">
        <f>D14*E14</f>
        <v/>
      </c>
      <c r="G14" s="41">
        <f>F14*12</f>
        <v/>
      </c>
      <c r="H14" s="40" t="n">
        <v>17393</v>
      </c>
      <c r="I14" s="41" t="n">
        <v>0.195</v>
      </c>
      <c r="J14" s="41">
        <f>H14*I14</f>
        <v/>
      </c>
      <c r="K14" s="41">
        <f>J14*12</f>
        <v/>
      </c>
      <c r="L14" s="41">
        <f>G14+K14</f>
        <v/>
      </c>
    </row>
    <row r="15">
      <c r="J15" t="inlineStr">
        <is>
          <t>SUBTOTAL</t>
        </is>
      </c>
      <c r="L15">
        <f>L14</f>
        <v/>
      </c>
    </row>
    <row r="16">
      <c r="B16" s="37" t="inlineStr">
        <is>
          <t>MLP-3 OFFICES - 2803 DALLAS PARKWAY, PLANO TEXAS 75093</t>
        </is>
      </c>
    </row>
    <row r="17">
      <c r="D17" s="38" t="inlineStr">
        <is>
          <t>YEAR 1</t>
        </is>
      </c>
      <c r="H17" s="38" t="inlineStr">
        <is>
          <t>YEAR 2</t>
        </is>
      </c>
    </row>
    <row r="18">
      <c r="B18" s="39" t="inlineStr">
        <is>
          <t>ITEM No.</t>
        </is>
      </c>
      <c r="C18" s="39" t="inlineStr">
        <is>
          <t>DESCRIPTION</t>
        </is>
      </c>
      <c r="D18" s="39" t="inlineStr">
        <is>
          <t>TOTAL CLEANING SQ. FT.</t>
        </is>
      </c>
      <c r="E18" s="39" t="inlineStr">
        <is>
          <t>COST PER SQ. FT.</t>
        </is>
      </c>
      <c r="F18" s="39" t="inlineStr">
        <is>
          <t>MONTHLY COST</t>
        </is>
      </c>
      <c r="G18" s="39" t="inlineStr">
        <is>
          <t>TOTAL YEAR 1</t>
        </is>
      </c>
      <c r="H18" s="39" t="inlineStr">
        <is>
          <t>TOTAL CLEANING SQ. FT.</t>
        </is>
      </c>
      <c r="I18" s="39" t="inlineStr">
        <is>
          <t>COST PER SQ. FT.</t>
        </is>
      </c>
      <c r="J18" s="39" t="inlineStr">
        <is>
          <t>MONTHLY COST</t>
        </is>
      </c>
      <c r="K18" s="39" t="inlineStr">
        <is>
          <t>TOTAL YEAR 2</t>
        </is>
      </c>
      <c r="L18" s="39" t="inlineStr">
        <is>
          <t>EXTENDED TOTAL FOR 2 YEARS</t>
        </is>
      </c>
    </row>
    <row r="19">
      <c r="B19" s="4" t="n">
        <v>3</v>
      </c>
      <c r="C19" s="4" t="inlineStr">
        <is>
          <t>5 Days of Cleaning (Sunday - Thursday Night)</t>
        </is>
      </c>
      <c r="D19" s="40" t="n">
        <v>7083</v>
      </c>
      <c r="E19" s="41" t="n">
        <v>0.2</v>
      </c>
      <c r="F19" s="41">
        <f>D19*E19</f>
        <v/>
      </c>
      <c r="G19" s="41">
        <f>F19*12</f>
        <v/>
      </c>
      <c r="H19" s="40" t="n">
        <v>7083</v>
      </c>
      <c r="I19" s="41" t="n">
        <v>0.205</v>
      </c>
      <c r="J19" s="41">
        <f>H19*I19</f>
        <v/>
      </c>
      <c r="K19" s="41">
        <f>J19*12</f>
        <v/>
      </c>
      <c r="L19" s="41">
        <f>G19+K19</f>
        <v/>
      </c>
    </row>
    <row r="20">
      <c r="J20" t="inlineStr">
        <is>
          <t>SUBTOTAL</t>
        </is>
      </c>
      <c r="L20">
        <f>L19</f>
        <v/>
      </c>
    </row>
    <row r="21">
      <c r="B21" s="37" t="inlineStr">
        <is>
          <t>MLP-4 OFFICES - 10350 DALLAS PARKWAY, FRISCO TEXAS 75034</t>
        </is>
      </c>
    </row>
    <row r="22">
      <c r="D22" s="38" t="inlineStr">
        <is>
          <t>YEAR 1</t>
        </is>
      </c>
      <c r="H22" s="38" t="inlineStr">
        <is>
          <t>YEAR 2</t>
        </is>
      </c>
    </row>
    <row r="23">
      <c r="B23" s="39" t="inlineStr">
        <is>
          <t>ITEM No.</t>
        </is>
      </c>
      <c r="C23" s="39" t="inlineStr">
        <is>
          <t>DESCRIPTION</t>
        </is>
      </c>
      <c r="D23" s="39" t="inlineStr">
        <is>
          <t>TOTAL CLEANING SQ. FT.</t>
        </is>
      </c>
      <c r="E23" s="39" t="inlineStr">
        <is>
          <t>COST PER SQ. FT.</t>
        </is>
      </c>
      <c r="F23" s="39" t="inlineStr">
        <is>
          <t>MONTHLY COST</t>
        </is>
      </c>
      <c r="G23" s="39" t="inlineStr">
        <is>
          <t>TOTAL YEAR 1</t>
        </is>
      </c>
      <c r="H23" s="39" t="inlineStr">
        <is>
          <t>TOTAL CLEANING SQ. FT.</t>
        </is>
      </c>
      <c r="I23" s="39" t="inlineStr">
        <is>
          <t>COST PER SQ. FT.</t>
        </is>
      </c>
      <c r="J23" s="39" t="inlineStr">
        <is>
          <t>MONTHLY COST</t>
        </is>
      </c>
      <c r="K23" s="39" t="inlineStr">
        <is>
          <t>TOTAL YEAR 2</t>
        </is>
      </c>
      <c r="L23" s="39" t="inlineStr">
        <is>
          <t>EXTENDED TOTAL FOR 2 YEARS</t>
        </is>
      </c>
    </row>
    <row r="24">
      <c r="B24" s="4" t="n">
        <v>4</v>
      </c>
      <c r="C24" s="4" t="inlineStr">
        <is>
          <t>5 Days of Cleaning (Sunday - Thursday Night)</t>
        </is>
      </c>
      <c r="D24" s="40" t="n">
        <v>3045</v>
      </c>
      <c r="E24" s="41" t="n">
        <v>0.21</v>
      </c>
      <c r="F24" s="41">
        <f>D24*E24</f>
        <v/>
      </c>
      <c r="G24" s="41">
        <f>F24*12</f>
        <v/>
      </c>
      <c r="H24" s="40" t="n">
        <v>3045</v>
      </c>
      <c r="I24" s="41" t="n">
        <v>0.215</v>
      </c>
      <c r="J24" s="41">
        <f>H24*I24</f>
        <v/>
      </c>
      <c r="K24" s="41">
        <f>J24*12</f>
        <v/>
      </c>
      <c r="L24" s="41">
        <f>G24+K24</f>
        <v/>
      </c>
    </row>
    <row r="25">
      <c r="J25" t="inlineStr">
        <is>
          <t>SUBTOTAL</t>
        </is>
      </c>
      <c r="L25">
        <f>L24</f>
        <v/>
      </c>
    </row>
    <row r="26">
      <c r="B26" s="37" t="inlineStr">
        <is>
          <t>DAY PORTER SERVICE</t>
        </is>
      </c>
    </row>
    <row r="27">
      <c r="D27" s="38" t="inlineStr">
        <is>
          <t>YEAR 1</t>
        </is>
      </c>
      <c r="H27" s="38" t="inlineStr">
        <is>
          <t>YEAR 2</t>
        </is>
      </c>
    </row>
    <row r="28">
      <c r="B28" s="39" t="inlineStr">
        <is>
          <t>ITEM No.</t>
        </is>
      </c>
      <c r="C28" s="39" t="inlineStr">
        <is>
          <t>DESCRIPTION</t>
        </is>
      </c>
      <c r="D28" s="39" t="inlineStr">
        <is>
          <t>ANNUAL HOURS</t>
        </is>
      </c>
      <c r="E28" s="39" t="inlineStr"/>
      <c r="F28" s="39" t="inlineStr">
        <is>
          <t>HOURLY RATE</t>
        </is>
      </c>
      <c r="G28" s="39" t="inlineStr">
        <is>
          <t>TOTAL YEAR 1</t>
        </is>
      </c>
      <c r="H28" s="39" t="inlineStr">
        <is>
          <t>ANNUAL HOURS</t>
        </is>
      </c>
      <c r="I28" s="39" t="inlineStr"/>
      <c r="J28" s="39" t="inlineStr">
        <is>
          <t>HOURLY RATE</t>
        </is>
      </c>
      <c r="K28" s="39" t="inlineStr">
        <is>
          <t>TOTAL YEAR 2</t>
        </is>
      </c>
      <c r="L28" s="39" t="inlineStr">
        <is>
          <t>EXTENDED TOTAL FOR 2 YEARS</t>
        </is>
      </c>
    </row>
    <row r="29">
      <c r="B29" s="4" t="n">
        <v>5</v>
      </c>
      <c r="C29" s="4" t="inlineStr">
        <is>
          <t>5 Days of cleaning, day porter service for 2,080 hours per year</t>
        </is>
      </c>
      <c r="D29" s="40" t="n">
        <v>2080</v>
      </c>
      <c r="E29" s="41" t="n"/>
      <c r="F29" s="41" t="n">
        <v>21.75</v>
      </c>
      <c r="G29" s="41">
        <f>D29*F29</f>
        <v/>
      </c>
      <c r="H29" s="40" t="n">
        <v>2080</v>
      </c>
      <c r="I29" s="41" t="n"/>
      <c r="J29" s="41" t="n">
        <v>22.25</v>
      </c>
      <c r="K29" s="41">
        <f>H29*J29</f>
        <v/>
      </c>
      <c r="L29" s="41">
        <f>G29+K29</f>
        <v/>
      </c>
    </row>
    <row r="30">
      <c r="J30" t="inlineStr">
        <is>
          <t>SUBTOTAL</t>
        </is>
      </c>
      <c r="L30">
        <f>L29</f>
        <v/>
      </c>
    </row>
    <row r="32">
      <c r="B32" s="4" t="n"/>
      <c r="C32" s="4" t="n"/>
      <c r="D32" s="40" t="n"/>
      <c r="E32" s="41" t="n"/>
      <c r="F32" s="41" t="n"/>
      <c r="G32" s="41" t="n"/>
      <c r="H32" s="40" t="n"/>
      <c r="I32" s="41" t="n"/>
      <c r="J32" s="42" t="inlineStr">
        <is>
          <t>TOTAL 2-YEAR BID AMOUNT</t>
        </is>
      </c>
      <c r="K32" s="41" t="n"/>
      <c r="L32" s="43">
        <f>L10+L15+L20+L25+L30</f>
        <v/>
      </c>
    </row>
    <row r="33">
      <c r="B33" s="4" t="n"/>
      <c r="C33" s="4" t="inlineStr">
        <is>
          <t>Deep Clean Infection Control</t>
        </is>
      </c>
      <c r="D33" s="44" t="n">
        <v>650</v>
      </c>
      <c r="E33" s="41" t="n"/>
      <c r="F33" s="41" t="n"/>
      <c r="G33" s="41" t="n"/>
      <c r="H33" s="40" t="n"/>
      <c r="I33" s="41" t="n"/>
      <c r="J33" s="41" t="n"/>
      <c r="K33" s="41" t="n"/>
      <c r="L33" s="41" t="n"/>
    </row>
    <row r="36">
      <c r="B36" t="inlineStr">
        <is>
          <t>COMPANY NAME (PRINTED)</t>
        </is>
      </c>
      <c r="F36" t="inlineStr">
        <is>
          <t>SIGNATURE</t>
        </is>
      </c>
    </row>
    <row r="37">
      <c r="B37" t="inlineStr">
        <is>
          <t>HWB Cleaning Services LLC</t>
        </is>
      </c>
      <c r="F37" t="inlineStr">
        <is>
          <t>— Approved by Humberto Dominguez (CEO) —</t>
        </is>
      </c>
    </row>
    <row r="38">
      <c r="B38" t="inlineStr">
        <is>
          <t>AUTHORIZED AGENT (PRINTED)</t>
        </is>
      </c>
      <c r="F38" t="inlineStr">
        <is>
          <t>DATE</t>
        </is>
      </c>
    </row>
    <row r="39">
      <c r="B39" t="inlineStr">
        <is>
          <t>Humberto Dominguez, CEO</t>
        </is>
      </c>
      <c r="F39" t="inlineStr">
        <is>
          <t>09/18/2026</t>
        </is>
      </c>
    </row>
  </sheetData>
  <mergeCells count="21">
    <mergeCell ref="B4:L4"/>
    <mergeCell ref="H22:K22"/>
    <mergeCell ref="B26:L26"/>
    <mergeCell ref="H27:K27"/>
    <mergeCell ref="D12:G12"/>
    <mergeCell ref="B16:L16"/>
    <mergeCell ref="H12:K12"/>
    <mergeCell ref="B3:L3"/>
    <mergeCell ref="B21:L21"/>
    <mergeCell ref="B11:L11"/>
    <mergeCell ref="B2:L2"/>
    <mergeCell ref="B1:L1"/>
    <mergeCell ref="D22:G22"/>
    <mergeCell ref="J32:K32"/>
    <mergeCell ref="D27:G27"/>
    <mergeCell ref="D17:G17"/>
    <mergeCell ref="B6:L6"/>
    <mergeCell ref="H17:K17"/>
    <mergeCell ref="B5:L5"/>
    <mergeCell ref="D7:G7"/>
    <mergeCell ref="H7:K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 ht="30" customHeight="1">
      <c r="A1" s="1" t="inlineStr">
        <is>
          <t>NTTA 06507 — HOURLY LABOR &amp; SHIFT COST BREAKDOWN</t>
        </is>
      </c>
    </row>
    <row r="3" ht="22" customHeight="1">
      <c r="A3" s="8" t="inlineStr">
        <is>
          <t>Position / Assignment</t>
        </is>
      </c>
      <c r="B3" s="9" t="inlineStr">
        <is>
          <t>Weekly Hours</t>
        </is>
      </c>
      <c r="C3" s="9" t="inlineStr">
        <is>
          <t>Base Wage ($/Hr)</t>
        </is>
      </c>
      <c r="D3" s="9" t="inlineStr">
        <is>
          <t>FICA/Taxes (11%)</t>
        </is>
      </c>
      <c r="E3" s="9" t="inlineStr">
        <is>
          <t>Workers Comp (7%)</t>
        </is>
      </c>
      <c r="F3" s="9" t="inlineStr">
        <is>
          <t>Loaded Bill Rate</t>
        </is>
      </c>
      <c r="G3" s="9" t="inlineStr">
        <is>
          <t>Weekly Cost</t>
        </is>
      </c>
      <c r="H3" s="9" t="inlineStr">
        <is>
          <t>Annual Cost</t>
        </is>
      </c>
    </row>
    <row r="4" ht="20" customHeight="1">
      <c r="A4" s="14" t="inlineStr">
        <is>
          <t>Full-Time Day Porter (Mon-Fri 7am-3:30pm)</t>
        </is>
      </c>
      <c r="B4" s="45" t="n">
        <v>40</v>
      </c>
      <c r="C4" s="46" t="n">
        <v>16.5</v>
      </c>
      <c r="D4" s="46" t="n">
        <v>1.82</v>
      </c>
      <c r="E4" s="46" t="n">
        <v>1.16</v>
      </c>
      <c r="F4" s="46" t="n">
        <v>19.47</v>
      </c>
      <c r="G4" s="46" t="n">
        <v>778.8</v>
      </c>
      <c r="H4" s="46" t="n">
        <v>40497.6</v>
      </c>
    </row>
    <row r="5" ht="20" customHeight="1">
      <c r="A5" s="19" t="inlineStr">
        <is>
          <t>Night Crew Lead / Driver (Sun-Fri Night)</t>
        </is>
      </c>
      <c r="B5" s="47" t="n">
        <v>31.5</v>
      </c>
      <c r="C5" s="48" t="n">
        <v>17</v>
      </c>
      <c r="D5" s="48" t="n">
        <v>1.87</v>
      </c>
      <c r="E5" s="48" t="n">
        <v>1.19</v>
      </c>
      <c r="F5" s="48" t="n">
        <v>20.06</v>
      </c>
      <c r="G5" s="48" t="n">
        <v>631.89</v>
      </c>
      <c r="H5" s="48" t="n">
        <v>32858.28</v>
      </c>
    </row>
    <row r="6" ht="20" customHeight="1">
      <c r="A6" s="14" t="inlineStr">
        <is>
          <t>Night Technician / Cleaner (Sun-Fri Night)</t>
        </is>
      </c>
      <c r="B6" s="45" t="n">
        <v>31.5</v>
      </c>
      <c r="C6" s="46" t="n">
        <v>15.5</v>
      </c>
      <c r="D6" s="46" t="n">
        <v>1.71</v>
      </c>
      <c r="E6" s="46" t="n">
        <v>1.09</v>
      </c>
      <c r="F6" s="46" t="n">
        <v>18.29</v>
      </c>
      <c r="G6" s="46" t="n">
        <v>576.14</v>
      </c>
      <c r="H6" s="46" t="n">
        <v>29959.02</v>
      </c>
    </row>
    <row r="7" ht="20" customHeight="1">
      <c r="A7" s="19" t="inlineStr">
        <is>
          <t>Mobile Shift Supervisor (1 Audit/Night)</t>
        </is>
      </c>
      <c r="B7" s="47" t="n">
        <v>3</v>
      </c>
      <c r="C7" s="48" t="n">
        <v>22</v>
      </c>
      <c r="D7" s="48" t="n">
        <v>2.42</v>
      </c>
      <c r="E7" s="48" t="n">
        <v>1.54</v>
      </c>
      <c r="F7" s="48" t="n">
        <v>25.96</v>
      </c>
      <c r="G7" s="48" t="n">
        <v>77.88</v>
      </c>
      <c r="H7" s="48" t="n">
        <v>4049.76</v>
      </c>
    </row>
    <row r="8" ht="20" customHeight="1">
      <c r="A8" s="20" t="inlineStr">
        <is>
          <t>TOTALS / WEIGHTED AVERAGES</t>
        </is>
      </c>
      <c r="B8" s="49" t="n">
        <v>106</v>
      </c>
      <c r="C8" s="50" t="n">
        <v>16.63</v>
      </c>
      <c r="D8" s="50" t="n">
        <v>1.83</v>
      </c>
      <c r="E8" s="50" t="n">
        <v>1.16</v>
      </c>
      <c r="F8" s="50" t="n">
        <v>19.62</v>
      </c>
      <c r="G8" s="50" t="n">
        <v>2064.71</v>
      </c>
      <c r="H8" s="50" t="n">
        <v>107364.66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6" customWidth="1" min="3" max="3"/>
    <col width="16" customWidth="1" min="4" max="4"/>
    <col width="18" customWidth="1" min="5" max="5"/>
    <col width="16" customWidth="1" min="6" max="6"/>
    <col width="40" customWidth="1" min="7" max="7"/>
  </cols>
  <sheetData>
    <row r="1" ht="30" customHeight="1">
      <c r="A1" s="1" t="inlineStr">
        <is>
          <t>NTTA 06507 — FACILITY PORTFOLIO TAKEOFF &amp; PRODUCTION RATES</t>
        </is>
      </c>
    </row>
    <row r="3" ht="22" customHeight="1">
      <c r="A3" s="8" t="inlineStr">
        <is>
          <t>Facility Name</t>
        </is>
      </c>
      <c r="B3" s="8" t="inlineStr">
        <is>
          <t>Physical Address</t>
        </is>
      </c>
      <c r="C3" s="9" t="inlineStr">
        <is>
          <t>Cleanable Sq. Ft.</t>
        </is>
      </c>
      <c r="D3" s="9" t="inlineStr">
        <is>
          <t>Service Days / Wk</t>
        </is>
      </c>
      <c r="E3" s="9" t="inlineStr">
        <is>
          <t>Production Rate (SF/Hr)</t>
        </is>
      </c>
      <c r="F3" s="9" t="inlineStr">
        <is>
          <t>Crew Hours / Night</t>
        </is>
      </c>
      <c r="G3" s="8" t="inlineStr">
        <is>
          <t>Floor Substrates &amp; Key Features</t>
        </is>
      </c>
    </row>
    <row r="4" ht="20" customHeight="1">
      <c r="A4" s="14" t="inlineStr">
        <is>
          <t>Frisco Operations Center (FOC)</t>
        </is>
      </c>
      <c r="B4" s="14" t="inlineStr">
        <is>
          <t>11110 Research Rd, Frisco, TX 75033</t>
        </is>
      </c>
      <c r="C4" s="51" t="n">
        <v>10846</v>
      </c>
      <c r="D4" s="12" t="inlineStr">
        <is>
          <t>6 Days (Sun-Fri)</t>
        </is>
      </c>
      <c r="E4" s="12" t="n">
        <v>3500</v>
      </c>
      <c r="F4" s="52" t="n">
        <v>3.1</v>
      </c>
      <c r="G4" s="14" t="inlineStr">
        <is>
          <t>Mondo rubber flooring in maintenance shop, VCT, restrooms.</t>
        </is>
      </c>
    </row>
    <row r="5" ht="20" customHeight="1">
      <c r="A5" s="19" t="inlineStr">
        <is>
          <t>Plano Maintenance Center (POC)</t>
        </is>
      </c>
      <c r="B5" s="19" t="inlineStr">
        <is>
          <t>1080 Ohio Dr, Plano, TX 75093</t>
        </is>
      </c>
      <c r="C5" s="53" t="n">
        <v>17393</v>
      </c>
      <c r="D5" s="17" t="inlineStr">
        <is>
          <t>6 Days (Sun-Fri)</t>
        </is>
      </c>
      <c r="E5" s="17" t="n">
        <v>3500</v>
      </c>
      <c r="F5" s="54" t="n">
        <v>4.97</v>
      </c>
      <c r="G5" s="19" t="inlineStr">
        <is>
          <t>Mondo rubber flooring, administrative offices, dispatch, tile restrooms.</t>
        </is>
      </c>
    </row>
    <row r="6" ht="20" customHeight="1">
      <c r="A6" s="14" t="inlineStr">
        <is>
          <t>MLP-3 Office Complex</t>
        </is>
      </c>
      <c r="B6" s="14" t="inlineStr">
        <is>
          <t>2803 Dallas Pkwy, Plano, TX 75093</t>
        </is>
      </c>
      <c r="C6" s="51" t="n">
        <v>7083</v>
      </c>
      <c r="D6" s="12" t="inlineStr">
        <is>
          <t>5 Days (Sun-Thu)</t>
        </is>
      </c>
      <c r="E6" s="12" t="n">
        <v>3500</v>
      </c>
      <c r="F6" s="52" t="n">
        <v>2.02</v>
      </c>
      <c r="G6" s="14" t="inlineStr">
        <is>
          <t>Offices, mezzanine, tunnel cleanable area, carpet and ceramic tile.</t>
        </is>
      </c>
    </row>
    <row r="7" ht="20" customHeight="1">
      <c r="A7" s="19" t="inlineStr">
        <is>
          <t>MLP-4 Office Complex</t>
        </is>
      </c>
      <c r="B7" s="19" t="inlineStr">
        <is>
          <t>10350 Dallas Pkwy, Frisco, TX 75034</t>
        </is>
      </c>
      <c r="C7" s="53" t="n">
        <v>3045</v>
      </c>
      <c r="D7" s="17" t="inlineStr">
        <is>
          <t>5 Days (Sun-Thu)</t>
        </is>
      </c>
      <c r="E7" s="17" t="n">
        <v>3500</v>
      </c>
      <c r="F7" s="54" t="n">
        <v>0.87</v>
      </c>
      <c r="G7" s="19" t="inlineStr">
        <is>
          <t>Offices, entry lobby, 145 window panes, breakroom.</t>
        </is>
      </c>
    </row>
    <row r="8" ht="20" customHeight="1">
      <c r="A8" s="14" t="inlineStr">
        <is>
          <t>SRT @ I-35E Satellite Restroom</t>
        </is>
      </c>
      <c r="B8" s="14" t="inlineStr">
        <is>
          <t>851 Texas 121, Lewisville, TX 75067</t>
        </is>
      </c>
      <c r="C8" s="51" t="n">
        <v>100</v>
      </c>
      <c r="D8" s="12" t="inlineStr">
        <is>
          <t>1 Day / Week</t>
        </is>
      </c>
      <c r="E8" s="12" t="inlineStr">
        <is>
          <t>N/A</t>
        </is>
      </c>
      <c r="F8" s="52" t="n">
        <v>0.33</v>
      </c>
      <c r="G8" s="14" t="inlineStr">
        <is>
          <t>Single person controlled access restroom facility.</t>
        </is>
      </c>
    </row>
    <row r="9" ht="20" customHeight="1">
      <c r="A9" s="19" t="inlineStr">
        <is>
          <t>SRT @ DNT Satellite Restroom</t>
        </is>
      </c>
      <c r="B9" s="19" t="inlineStr">
        <is>
          <t>1601 Dallas Pkwy, Frisco, TX 75034</t>
        </is>
      </c>
      <c r="C9" s="53" t="n">
        <v>100</v>
      </c>
      <c r="D9" s="17" t="inlineStr">
        <is>
          <t>1 Day / Week</t>
        </is>
      </c>
      <c r="E9" s="17" t="inlineStr">
        <is>
          <t>N/A</t>
        </is>
      </c>
      <c r="F9" s="54" t="n">
        <v>0.33</v>
      </c>
      <c r="G9" s="19" t="inlineStr">
        <is>
          <t>Single person controlled access restroom facility.</t>
        </is>
      </c>
    </row>
    <row r="10" ht="20" customHeight="1">
      <c r="A10" s="14" t="inlineStr">
        <is>
          <t>SRT @ Exchange Pkwy Satellite</t>
        </is>
      </c>
      <c r="B10" s="14" t="inlineStr">
        <is>
          <t>8400 State Hwy 121 S, McKinney, TX 75070</t>
        </is>
      </c>
      <c r="C10" s="51" t="n">
        <v>100</v>
      </c>
      <c r="D10" s="12" t="inlineStr">
        <is>
          <t>1 Day / Week</t>
        </is>
      </c>
      <c r="E10" s="12" t="inlineStr">
        <is>
          <t>N/A</t>
        </is>
      </c>
      <c r="F10" s="52" t="n">
        <v>0.33</v>
      </c>
      <c r="G10" s="14" t="inlineStr">
        <is>
          <t>Single person controlled access restroom facility.</t>
        </is>
      </c>
    </row>
    <row r="11" ht="20" customHeight="1">
      <c r="A11" s="19" t="inlineStr">
        <is>
          <t>DNT @ MLP-2 Satellite Restroom</t>
        </is>
      </c>
      <c r="B11" s="19" t="inlineStr">
        <is>
          <t>15909A Dallas Pkwy, Addison, TX 75001</t>
        </is>
      </c>
      <c r="C11" s="53" t="n">
        <v>100</v>
      </c>
      <c r="D11" s="17" t="inlineStr">
        <is>
          <t>1 Day / Week</t>
        </is>
      </c>
      <c r="E11" s="17" t="inlineStr">
        <is>
          <t>N/A</t>
        </is>
      </c>
      <c r="F11" s="54" t="n">
        <v>0.33</v>
      </c>
      <c r="G11" s="19" t="inlineStr">
        <is>
          <t>Single person controlled access restroom facility.</t>
        </is>
      </c>
    </row>
    <row r="12" ht="20" customHeight="1">
      <c r="A12" s="14" t="inlineStr">
        <is>
          <t>Addison Airport Toll Tunnel Restroom</t>
        </is>
      </c>
      <c r="B12" s="14" t="inlineStr">
        <is>
          <t>4140 Keller Springs Rd, Addison, TX 75001</t>
        </is>
      </c>
      <c r="C12" s="51" t="n">
        <v>100</v>
      </c>
      <c r="D12" s="12" t="inlineStr">
        <is>
          <t>1 Day / Week</t>
        </is>
      </c>
      <c r="E12" s="12" t="inlineStr">
        <is>
          <t>N/A</t>
        </is>
      </c>
      <c r="F12" s="52" t="n">
        <v>0.33</v>
      </c>
      <c r="G12" s="14" t="inlineStr">
        <is>
          <t>Single person controlled access restroom facility.</t>
        </is>
      </c>
    </row>
    <row r="13" ht="20" customHeight="1">
      <c r="A13" s="20" t="inlineStr">
        <is>
          <t>PORTFOLIO TOTAL</t>
        </is>
      </c>
      <c r="B13" s="20" t="inlineStr">
        <is>
          <t>All Primary Facilities + 5 Stockpiles</t>
        </is>
      </c>
      <c r="C13" s="55" t="n">
        <v>38867</v>
      </c>
      <c r="D13" s="23" t="inlineStr">
        <is>
          <t>—</t>
        </is>
      </c>
      <c r="E13" s="23" t="inlineStr">
        <is>
          <t>—</t>
        </is>
      </c>
      <c r="F13" s="56" t="n">
        <v>12.61</v>
      </c>
      <c r="G13" s="20" t="inlineStr">
        <is>
          <t>38,367 primary cleanable SF + 500 SF satellite restrooms.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16" customWidth="1" min="4" max="4"/>
    <col width="20" customWidth="1" min="5" max="5"/>
    <col width="32" customWidth="1" min="6" max="6"/>
  </cols>
  <sheetData>
    <row r="1" ht="30" customHeight="1">
      <c r="A1" s="1" t="inlineStr">
        <is>
          <t>NTTA 06507 — 60-DAY WORKING CAPITAL FLOAT TIMELINE</t>
        </is>
      </c>
    </row>
    <row r="3" ht="22" customHeight="1">
      <c r="A3" s="9" t="inlineStr">
        <is>
          <t>Timeline Milestone</t>
        </is>
      </c>
      <c r="B3" s="8" t="inlineStr">
        <is>
          <t>Operational Event &amp; Activity</t>
        </is>
      </c>
      <c r="C3" s="9" t="inlineStr">
        <is>
          <t>Cash Outflow ($)</t>
        </is>
      </c>
      <c r="D3" s="9" t="inlineStr">
        <is>
          <t>Cash Inflow ($)</t>
        </is>
      </c>
      <c r="E3" s="9" t="inlineStr">
        <is>
          <t>Cumulative Net Cash Flow</t>
        </is>
      </c>
      <c r="F3" s="8" t="inlineStr">
        <is>
          <t>Working Capital Status</t>
        </is>
      </c>
    </row>
    <row r="4" ht="20" customHeight="1">
      <c r="A4" s="12" t="inlineStr">
        <is>
          <t>Day 0 (Pre-Launch)</t>
        </is>
      </c>
      <c r="B4" s="14" t="inlineStr">
        <is>
          <t>Mobilization: 4 Criminal Checks, 10-Panel Drugs, Uniforms &amp; Dilution Chem</t>
        </is>
      </c>
      <c r="C4" s="57" t="n">
        <v>-1800</v>
      </c>
      <c r="D4" s="46" t="n">
        <v>0</v>
      </c>
      <c r="E4" s="57" t="n">
        <v>-1800</v>
      </c>
      <c r="F4" s="12" t="inlineStr">
        <is>
          <t>Initial Setup Capital Deployed</t>
        </is>
      </c>
    </row>
    <row r="5" ht="20" customHeight="1">
      <c r="A5" s="17" t="inlineStr">
        <is>
          <t>Day 15 (Month 1)</t>
        </is>
      </c>
      <c r="B5" s="19" t="inlineStr">
        <is>
          <t>Payroll Run #1 (2 Weeks Day Porter + Night Crew)</t>
        </is>
      </c>
      <c r="C5" s="58" t="n">
        <v>-3973</v>
      </c>
      <c r="D5" s="48" t="n">
        <v>0</v>
      </c>
      <c r="E5" s="58" t="n">
        <v>-5773</v>
      </c>
      <c r="F5" s="17" t="inlineStr">
        <is>
          <t>Operating Float Active</t>
        </is>
      </c>
    </row>
    <row r="6" ht="20" customHeight="1">
      <c r="A6" s="12" t="inlineStr">
        <is>
          <t>Day 30 (Month 1)</t>
        </is>
      </c>
      <c r="B6" s="14" t="inlineStr">
        <is>
          <t>Payroll Run #2 (2 Weeks Day Porter + Night Crew) + Route Fuel</t>
        </is>
      </c>
      <c r="C6" s="57" t="n">
        <v>-4223</v>
      </c>
      <c r="D6" s="46" t="n">
        <v>0</v>
      </c>
      <c r="E6" s="57" t="n">
        <v>-9996</v>
      </c>
      <c r="F6" s="12" t="inlineStr">
        <is>
          <t>Month 1 Services Complete</t>
        </is>
      </c>
    </row>
    <row r="7" ht="20" customHeight="1">
      <c r="A7" s="17" t="inlineStr">
        <is>
          <t>Day 31 (Billing)</t>
        </is>
      </c>
      <c r="B7" s="19" t="inlineStr">
        <is>
          <t>Submit Month 1 Invoice + 30-Day Photo Documentation to NTTA</t>
        </is>
      </c>
      <c r="C7" s="48" t="n">
        <v>0</v>
      </c>
      <c r="D7" s="48" t="n">
        <v>0</v>
      </c>
      <c r="E7" s="58" t="n">
        <v>-9996</v>
      </c>
      <c r="F7" s="17" t="inlineStr">
        <is>
          <t>Net 30 Review Clock Starts</t>
        </is>
      </c>
    </row>
    <row r="8" ht="20" customHeight="1">
      <c r="A8" s="12" t="inlineStr">
        <is>
          <t>Day 45 (Month 2)</t>
        </is>
      </c>
      <c r="B8" s="14" t="inlineStr">
        <is>
          <t>Payroll Run #3 (2 Weeks Day Porter + Night Crew)</t>
        </is>
      </c>
      <c r="C8" s="57" t="n">
        <v>-3973</v>
      </c>
      <c r="D8" s="46" t="n">
        <v>0</v>
      </c>
      <c r="E8" s="57" t="n">
        <v>-13969</v>
      </c>
      <c r="F8" s="12" t="inlineStr">
        <is>
          <t>Month 2 In Progress</t>
        </is>
      </c>
    </row>
    <row r="9" ht="20" customHeight="1">
      <c r="A9" s="17" t="inlineStr">
        <is>
          <t>Day 60 (Month 2)</t>
        </is>
      </c>
      <c r="B9" s="19" t="inlineStr">
        <is>
          <t>Payroll Run #4 (2 Weeks Day Porter + Night Crew) + Route Fuel</t>
        </is>
      </c>
      <c r="C9" s="58" t="n">
        <v>-4223</v>
      </c>
      <c r="D9" s="48" t="n">
        <v>0</v>
      </c>
      <c r="E9" s="58" t="n">
        <v>-18192</v>
      </c>
      <c r="F9" s="23" t="inlineStr">
        <is>
          <t>PEAK CAPITAL EXPOSURE POINT</t>
        </is>
      </c>
    </row>
    <row r="10" ht="20" customHeight="1">
      <c r="A10" s="12" t="inlineStr">
        <is>
          <t>Day 60-65 (Remittance)</t>
        </is>
      </c>
      <c r="B10" s="14" t="inlineStr">
        <is>
          <t>NTTA ACH Wire Received for Month 1 Invoice</t>
        </is>
      </c>
      <c r="C10" s="46" t="n">
        <v>0</v>
      </c>
      <c r="D10" s="59" t="n">
        <v>11245.69</v>
      </c>
      <c r="E10" s="57" t="n">
        <v>-6946.31</v>
      </c>
      <c r="F10" s="12" t="inlineStr">
        <is>
          <t>First Payment Cleared (Capital Recycling Begins)</t>
        </is>
      </c>
    </row>
    <row r="11" ht="20" customHeight="1">
      <c r="A11" s="17" t="inlineStr">
        <is>
          <t>Day 75 (Month 3)</t>
        </is>
      </c>
      <c r="B11" s="19" t="inlineStr">
        <is>
          <t>Payroll Run #5 (Funded by NTTA Month 1 Wire)</t>
        </is>
      </c>
      <c r="C11" s="58" t="n">
        <v>-3973</v>
      </c>
      <c r="D11" s="48" t="n">
        <v>0</v>
      </c>
      <c r="E11" s="58" t="n">
        <v>-10919.31</v>
      </c>
      <c r="F11" s="17" t="inlineStr">
        <is>
          <t>Self-Funding Active</t>
        </is>
      </c>
    </row>
    <row r="12" ht="20" customHeight="1">
      <c r="A12" s="12" t="inlineStr">
        <is>
          <t>Day 90-95 (Remittance)</t>
        </is>
      </c>
      <c r="B12" s="14" t="inlineStr">
        <is>
          <t>NTTA ACH Wire Received for Month 2 Invoice</t>
        </is>
      </c>
      <c r="C12" s="46" t="n">
        <v>0</v>
      </c>
      <c r="D12" s="59" t="n">
        <v>11245.69</v>
      </c>
      <c r="E12" s="59" t="n">
        <v>326.38</v>
      </c>
      <c r="F12" s="60" t="inlineStr">
        <is>
          <t>100% CAPITAL RECOVERED (Net Positive Cash Flow)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2026-09-18T15:18:34Z</dcterms:created>
  <dcterms:modified xmlns:dcterms="http://purl.org/dc/terms/" xmlns:xsi="http://www.w3.org/2001/XMLSchema-instance" xsi:type="dcterms:W3CDTF">2026-09-18T15:18:34Z</dcterms:modified>
</cp:coreProperties>
</file>