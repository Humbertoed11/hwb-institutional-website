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 workbookAlgorithmName="SHA-512" workbookHashValue="YQkK+ZPJcyzgP+P4tmxm/V31rLnJH6TvNduoljvnlMPuswLc5dgGx8M1M6MKZy4wVO5fzFlb46Rs2Edds1G5xQ==" workbookSaltValue="eTUckghB2kRPV1n2Bbli4g==" workbookSpinCount="100000"/>
  <bookViews>
    <workbookView visibility="visible" minimized="0" showHorizontalScroll="1" showVerticalScroll="1" showSheetTabs="1" xWindow="29010" yWindow="195" windowWidth="27150" windowHeight="15165" tabRatio="169" firstSheet="0" activeTab="0" autoFilterDateGrouping="1"/>
  </bookViews>
  <sheets>
    <sheet xmlns:r="http://schemas.openxmlformats.org/officeDocument/2006/relationships" name="BID SHEET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color theme="1"/>
      <sz val="14"/>
    </font>
    <font>
      <name val="Times New Roman"/>
      <family val="1"/>
      <b val="1"/>
      <color theme="1"/>
      <sz val="12"/>
    </font>
    <font>
      <name val="Times New Roman"/>
      <family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i val="1"/>
      <color rgb="FFFF0000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sz val="14"/>
    </font>
    <font>
      <name val="Times New Roman"/>
      <family val="1"/>
      <sz val="16"/>
    </font>
    <font>
      <name val="Times New Roman"/>
      <family val="1"/>
      <b val="1"/>
      <color rgb="FFFF0000"/>
      <sz val="16"/>
    </font>
    <font>
      <name val="Times New Roman"/>
      <family val="1"/>
      <b val="1"/>
      <sz val="15"/>
    </font>
    <font>
      <name val="Times New Roman"/>
      <family val="1"/>
      <b val="1"/>
      <sz val="16"/>
    </font>
    <font>
      <name val="Times New Roman"/>
      <family val="1"/>
      <b val="1"/>
      <color rgb="FFFF0000"/>
      <sz val="14"/>
    </font>
    <font>
      <name val="Times New Roman"/>
      <family val="1"/>
      <sz val="14"/>
    </font>
    <font>
      <name val="Times New Roman"/>
      <family val="1"/>
      <b val="1"/>
      <color theme="0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6" fillId="2" borderId="7" applyAlignment="1" applyProtection="1" pivotButton="0" quotePrefix="0" xfId="0">
      <alignment horizontal="center" vertical="center" wrapText="1"/>
      <protection locked="0" hidden="0"/>
    </xf>
    <xf numFmtId="0" fontId="6" fillId="2" borderId="6" applyAlignment="1" applyProtection="1" pivotButton="0" quotePrefix="0" xfId="0">
      <alignment horizontal="center" vertical="center" wrapText="1"/>
      <protection locked="0" hidden="0"/>
    </xf>
    <xf numFmtId="0" fontId="6" fillId="2" borderId="13" applyAlignment="1" applyProtection="1" pivotButton="0" quotePrefix="0" xfId="0">
      <alignment horizontal="center" vertical="center" wrapText="1"/>
      <protection locked="0" hidden="0"/>
    </xf>
    <xf numFmtId="0" fontId="9" fillId="2" borderId="8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vertical="top" wrapText="1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" fillId="0" borderId="4" applyAlignment="1" applyProtection="1" pivotButton="0" quotePrefix="0" xfId="0">
      <alignment horizontal="center" vertical="center"/>
      <protection locked="0" hidden="0"/>
    </xf>
    <xf numFmtId="0" fontId="6" fillId="2" borderId="23" applyAlignment="1" applyProtection="1" pivotButton="0" quotePrefix="0" xfId="0">
      <alignment horizontal="center" vertical="center" wrapText="1"/>
      <protection locked="0" hidden="0"/>
    </xf>
    <xf numFmtId="0" fontId="5" fillId="0" borderId="11" applyAlignment="1" applyProtection="1" pivotButton="0" quotePrefix="0" xfId="0">
      <alignment horizontal="center" vertical="center"/>
      <protection locked="0" hidden="0"/>
    </xf>
    <xf numFmtId="0" fontId="5" fillId="0" borderId="9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2" borderId="13" applyAlignment="1" applyProtection="1" pivotButton="0" quotePrefix="0" xfId="0">
      <alignment horizontal="center" vertical="center" wrapText="1"/>
      <protection locked="0" hidden="0"/>
    </xf>
    <xf numFmtId="0" fontId="6" fillId="2" borderId="17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9" fillId="2" borderId="6" applyAlignment="1" applyProtection="1" pivotButton="0" quotePrefix="0" xfId="0">
      <alignment horizontal="center" vertical="center" wrapText="1"/>
      <protection locked="0" hidden="0"/>
    </xf>
    <xf numFmtId="164" fontId="10" fillId="0" borderId="26" applyAlignment="1" pivotButton="0" quotePrefix="0" xfId="0">
      <alignment horizontal="center" vertical="center" wrapText="1"/>
    </xf>
    <xf numFmtId="0" fontId="2" fillId="0" borderId="0" applyAlignment="1" applyProtection="1" pivotButton="0" quotePrefix="0" xfId="0">
      <alignment vertical="center"/>
      <protection locked="0" hidden="0"/>
    </xf>
    <xf numFmtId="0" fontId="2" fillId="0" borderId="26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6" fillId="2" borderId="23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164" fontId="6" fillId="0" borderId="6" applyAlignment="1" applyProtection="1" pivotButton="0" quotePrefix="0" xfId="0">
      <alignment vertical="center"/>
      <protection locked="0" hidden="0"/>
    </xf>
    <xf numFmtId="0" fontId="2" fillId="0" borderId="9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2" fillId="0" borderId="5" applyProtection="1" pivotButton="0" quotePrefix="0" xfId="0">
      <protection locked="0" hidden="0"/>
    </xf>
    <xf numFmtId="0" fontId="2" fillId="0" borderId="5" applyAlignment="1" applyProtection="1" pivotButton="0" quotePrefix="0" xfId="0">
      <alignment vertical="top" wrapText="1"/>
      <protection locked="0" hidden="0"/>
    </xf>
    <xf numFmtId="0" fontId="13" fillId="0" borderId="5" applyAlignment="1" applyProtection="1" pivotButton="0" quotePrefix="0" xfId="0">
      <alignment horizontal="center" vertical="center"/>
      <protection locked="0" hidden="0"/>
    </xf>
    <xf numFmtId="0" fontId="6" fillId="0" borderId="7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vertical="top" wrapText="1"/>
      <protection locked="0" hidden="0"/>
    </xf>
    <xf numFmtId="0" fontId="2" fillId="0" borderId="0" applyProtection="1" pivotButton="0" quotePrefix="0" xfId="0"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14" fillId="0" borderId="4" applyAlignment="1" applyProtection="1" pivotButton="0" quotePrefix="0" xfId="0">
      <alignment horizontal="center" vertical="center"/>
      <protection locked="0" hidden="0"/>
    </xf>
    <xf numFmtId="0" fontId="14" fillId="0" borderId="5" applyAlignment="1" applyProtection="1" pivotButton="0" quotePrefix="0" xfId="0">
      <alignment horizontal="center" vertical="center"/>
      <protection locked="0" hidden="0"/>
    </xf>
    <xf numFmtId="0" fontId="14" fillId="0" borderId="11" applyAlignment="1" applyProtection="1" pivotButton="0" quotePrefix="0" xfId="0">
      <alignment horizontal="center" vertical="center"/>
      <protection locked="0" hidden="0"/>
    </xf>
    <xf numFmtId="0" fontId="14" fillId="0" borderId="9" applyAlignment="1" applyProtection="1" pivotButton="0" quotePrefix="0" xfId="0">
      <alignment horizontal="center" vertical="center"/>
      <protection locked="0" hidden="0"/>
    </xf>
    <xf numFmtId="0" fontId="14" fillId="0" borderId="10" applyAlignment="1" applyProtection="1" pivotButton="0" quotePrefix="0" xfId="0">
      <alignment horizontal="center" vertical="center"/>
      <protection locked="0" hidden="0"/>
    </xf>
    <xf numFmtId="0" fontId="5" fillId="0" borderId="24" applyAlignment="1" applyProtection="1" pivotButton="0" quotePrefix="0" xfId="0">
      <alignment horizontal="center" vertical="center" wrapText="1"/>
      <protection locked="0" hidden="0"/>
    </xf>
    <xf numFmtId="0" fontId="5" fillId="0" borderId="16" applyAlignment="1" applyProtection="1" pivotButton="0" quotePrefix="0" xfId="0">
      <alignment horizontal="center" vertical="center" wrapText="1"/>
      <protection locked="0" hidden="0"/>
    </xf>
    <xf numFmtId="0" fontId="5" fillId="0" borderId="23" applyAlignment="1" applyProtection="1" pivotButton="0" quotePrefix="0" xfId="0">
      <alignment horizontal="center" vertical="center" wrapText="1"/>
      <protection locked="0" hidden="0"/>
    </xf>
    <xf numFmtId="0" fontId="11" fillId="0" borderId="20" applyAlignment="1" applyProtection="1" pivotButton="0" quotePrefix="0" xfId="0">
      <alignment horizontal="center" vertical="center"/>
      <protection locked="0" hidden="0"/>
    </xf>
    <xf numFmtId="0" fontId="11" fillId="0" borderId="21" applyAlignment="1" applyProtection="1" pivotButton="0" quotePrefix="0" xfId="0">
      <alignment horizontal="center" vertical="center"/>
      <protection locked="0" hidden="0"/>
    </xf>
    <xf numFmtId="0" fontId="11" fillId="0" borderId="22" applyAlignment="1" applyProtection="1" pivotButton="0" quotePrefix="0" xfId="0">
      <alignment horizontal="center" vertical="center"/>
      <protection locked="0" hidden="0"/>
    </xf>
    <xf numFmtId="3" fontId="3" fillId="0" borderId="6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vertical="top" wrapText="1"/>
      <protection locked="0" hidden="0"/>
    </xf>
    <xf numFmtId="0" fontId="3" fillId="0" borderId="7" applyAlignment="1" applyProtection="1" pivotButton="0" quotePrefix="0" xfId="0">
      <alignment horizontal="center" vertical="center" wrapText="1"/>
      <protection locked="0" hidden="0"/>
    </xf>
    <xf numFmtId="0" fontId="3" fillId="0" borderId="6" applyAlignment="1" applyProtection="1" pivotButton="0" quotePrefix="0" xfId="0">
      <alignment horizontal="left" vertical="center" wrapText="1"/>
      <protection locked="0" hidden="0"/>
    </xf>
    <xf numFmtId="3" fontId="3" fillId="0" borderId="6" applyAlignment="1" pivotButton="0" quotePrefix="0" xfId="0">
      <alignment horizontal="center" vertical="center" wrapText="1"/>
    </xf>
    <xf numFmtId="164" fontId="3" fillId="0" borderId="13" applyAlignment="1" applyProtection="1" pivotButton="0" quotePrefix="0" xfId="0">
      <alignment horizontal="center" vertical="center" wrapText="1"/>
      <protection locked="0" hidden="0"/>
    </xf>
    <xf numFmtId="164" fontId="15" fillId="0" borderId="6" applyAlignment="1" pivotButton="0" quotePrefix="0" xfId="0">
      <alignment horizontal="center" vertical="center" wrapText="1"/>
    </xf>
    <xf numFmtId="164" fontId="3" fillId="0" borderId="6" applyAlignment="1" applyProtection="1" pivotButton="0" quotePrefix="0" xfId="0">
      <alignment vertical="center" wrapText="1"/>
      <protection locked="0" hidden="0"/>
    </xf>
    <xf numFmtId="164" fontId="3" fillId="0" borderId="8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164" fontId="6" fillId="0" borderId="6" applyAlignment="1" applyProtection="1" pivotButton="0" quotePrefix="0" xfId="0">
      <alignment horizontal="center" vertical="center" wrapText="1"/>
      <protection locked="0" hidden="0"/>
    </xf>
    <xf numFmtId="164" fontId="3" fillId="0" borderId="6" applyAlignment="1" applyProtection="1" pivotButton="0" quotePrefix="0" xfId="0">
      <alignment horizontal="center" vertical="center" wrapText="1"/>
      <protection locked="0" hidden="0"/>
    </xf>
    <xf numFmtId="164" fontId="15" fillId="0" borderId="6" applyAlignment="1" applyProtection="1" pivotButton="0" quotePrefix="0" xfId="0">
      <alignment horizontal="center" vertical="center" wrapText="1"/>
      <protection locked="0" hidden="0"/>
    </xf>
    <xf numFmtId="0" fontId="12" fillId="0" borderId="20" applyAlignment="1" applyProtection="1" pivotButton="0" quotePrefix="0" xfId="0">
      <alignment vertical="center"/>
      <protection locked="0" hidden="0"/>
    </xf>
    <xf numFmtId="0" fontId="12" fillId="0" borderId="21" applyAlignment="1" applyProtection="1" pivotButton="0" quotePrefix="0" xfId="0">
      <alignment vertical="center"/>
      <protection locked="0" hidden="0"/>
    </xf>
    <xf numFmtId="0" fontId="12" fillId="0" borderId="14" applyAlignment="1" applyProtection="1" pivotButton="0" quotePrefix="0" xfId="0">
      <alignment horizontal="center" vertical="center"/>
      <protection locked="0" hidden="0"/>
    </xf>
    <xf numFmtId="0" fontId="12" fillId="0" borderId="21" applyAlignment="1" applyProtection="1" pivotButton="0" quotePrefix="0" xfId="0">
      <alignment horizontal="center" vertical="center"/>
      <protection locked="0" hidden="0"/>
    </xf>
    <xf numFmtId="0" fontId="12" fillId="0" borderId="27" applyAlignment="1" applyProtection="1" pivotButton="0" quotePrefix="0" xfId="0">
      <alignment horizontal="center" vertical="center"/>
      <protection locked="0" hidden="0"/>
    </xf>
    <xf numFmtId="0" fontId="13" fillId="4" borderId="24" applyAlignment="1" applyProtection="1" pivotButton="0" quotePrefix="0" xfId="0">
      <alignment horizontal="center" vertical="center"/>
      <protection locked="0" hidden="0"/>
    </xf>
    <xf numFmtId="0" fontId="13" fillId="4" borderId="16" applyAlignment="1" applyProtection="1" pivotButton="0" quotePrefix="0" xfId="0">
      <alignment horizontal="center" vertical="center"/>
      <protection locked="0" hidden="0"/>
    </xf>
    <xf numFmtId="0" fontId="13" fillId="4" borderId="15" applyAlignment="1" applyProtection="1" pivotButton="0" quotePrefix="0" xfId="0">
      <alignment horizontal="center" vertical="center"/>
      <protection locked="0" hidden="0"/>
    </xf>
    <xf numFmtId="0" fontId="6" fillId="2" borderId="25" applyAlignment="1" applyProtection="1" pivotButton="0" quotePrefix="0" xfId="0">
      <alignment horizontal="center" vertical="center" wrapText="1"/>
      <protection locked="0" hidden="0"/>
    </xf>
    <xf numFmtId="0" fontId="3" fillId="0" borderId="6" applyAlignment="1" applyProtection="1" pivotButton="0" quotePrefix="0" xfId="0">
      <alignment horizontal="left" vertical="center" wrapText="1"/>
      <protection locked="0" hidden="0"/>
    </xf>
    <xf numFmtId="0" fontId="3" fillId="0" borderId="23" applyAlignment="1" applyProtection="1" pivotButton="0" quotePrefix="0" xfId="0">
      <alignment horizontal="center" vertical="center" wrapText="1"/>
      <protection locked="0" hidden="0"/>
    </xf>
    <xf numFmtId="3" fontId="3" fillId="0" borderId="13" applyAlignment="1" applyProtection="1" pivotButton="0" quotePrefix="0" xfId="0">
      <alignment horizontal="center" vertical="center" wrapText="1"/>
      <protection locked="0" hidden="0"/>
    </xf>
    <xf numFmtId="0" fontId="9" fillId="5" borderId="18" applyAlignment="1" applyProtection="1" pivotButton="0" quotePrefix="0" xfId="0">
      <alignment horizontal="center" vertical="center" wrapText="1"/>
      <protection locked="0" hidden="0"/>
    </xf>
    <xf numFmtId="0" fontId="9" fillId="5" borderId="19" applyAlignment="1" applyProtection="1" pivotButton="0" quotePrefix="0" xfId="0">
      <alignment horizontal="center" vertical="center" wrapText="1"/>
      <protection locked="0" hidden="0"/>
    </xf>
    <xf numFmtId="164" fontId="8" fillId="5" borderId="12" applyAlignment="1" pivotButton="0" quotePrefix="0" xfId="0">
      <alignment horizontal="center" vertical="center"/>
    </xf>
    <xf numFmtId="164" fontId="3" fillId="5" borderId="8" applyAlignment="1" applyProtection="1" pivotButton="0" quotePrefix="0" xfId="0">
      <alignment vertical="center" wrapText="1"/>
      <protection locked="0" hidden="0"/>
    </xf>
    <xf numFmtId="0" fontId="16" fillId="3" borderId="1" applyAlignment="1" applyProtection="1" pivotButton="0" quotePrefix="0" xfId="0">
      <alignment horizontal="center" vertical="center"/>
      <protection locked="0" hidden="0"/>
    </xf>
    <xf numFmtId="0" fontId="16" fillId="3" borderId="2" applyAlignment="1" applyProtection="1" pivotButton="0" quotePrefix="0" xfId="0">
      <alignment horizontal="center" vertical="center"/>
      <protection locked="0" hidden="0"/>
    </xf>
    <xf numFmtId="0" fontId="16" fillId="3" borderId="3" applyAlignment="1" applyProtection="1" pivotButton="0" quotePrefix="0" xfId="0">
      <alignment horizontal="center" vertical="center"/>
      <protection locked="0" hidden="0"/>
    </xf>
    <xf numFmtId="0" fontId="16" fillId="3" borderId="4" applyAlignment="1" applyProtection="1" pivotButton="0" quotePrefix="0" xfId="0">
      <alignment horizontal="center" vertical="center"/>
      <protection locked="0" hidden="0"/>
    </xf>
    <xf numFmtId="0" fontId="16" fillId="3" borderId="0" applyAlignment="1" applyProtection="1" pivotButton="0" quotePrefix="0" xfId="0">
      <alignment horizontal="center" vertical="center"/>
      <protection locked="0" hidden="0"/>
    </xf>
    <xf numFmtId="0" fontId="16" fillId="3" borderId="5" applyAlignment="1" applyProtection="1" pivotButton="0" quotePrefix="0" xfId="0">
      <alignment horizontal="center" vertical="center"/>
      <protection locked="0" hidden="0"/>
    </xf>
    <xf numFmtId="0" fontId="16" fillId="3" borderId="35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6" fillId="3" borderId="28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1" fillId="0" borderId="3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3" fillId="4" borderId="30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2" fillId="0" borderId="33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6" fillId="2" borderId="34" applyAlignment="1" applyProtection="1" pivotButton="0" quotePrefix="0" xfId="0">
      <alignment horizontal="center"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9" fillId="5" borderId="1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14" fillId="0" borderId="28" applyAlignment="1" applyProtection="1" pivotButton="0" quotePrefix="0" xfId="0">
      <alignment horizontal="center" vertical="center"/>
      <protection locked="0" hidden="0"/>
    </xf>
    <xf numFmtId="0" fontId="14" fillId="0" borderId="29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42"/>
  <sheetViews>
    <sheetView tabSelected="1" zoomScale="90" zoomScaleNormal="90" workbookViewId="0">
      <selection activeCell="J14" sqref="J14"/>
    </sheetView>
  </sheetViews>
  <sheetFormatPr baseColWidth="8" defaultColWidth="8.88671875" defaultRowHeight="13.8"/>
  <cols>
    <col width="3.5546875" customWidth="1" style="42" min="1" max="1"/>
    <col width="11.44140625" customWidth="1" style="26" min="2" max="2"/>
    <col width="86.109375" customWidth="1" style="26" min="3" max="3"/>
    <col width="16.77734375" customWidth="1" style="26" min="4" max="4"/>
    <col width="16.5546875" customWidth="1" style="26" min="5" max="5"/>
    <col width="17.21875" customWidth="1" style="26" min="6" max="6"/>
    <col width="18.77734375" customWidth="1" style="26" min="7" max="7"/>
    <col width="17.109375" customWidth="1" style="42" min="8" max="8"/>
    <col width="17" customWidth="1" style="42" min="9" max="9"/>
    <col width="17.77734375" customWidth="1" style="42" min="10" max="10"/>
    <col width="18.109375" customWidth="1" style="42" min="11" max="11"/>
    <col width="23.109375" customWidth="1" style="42" min="12" max="12"/>
    <col width="8.88671875" customWidth="1" style="42" min="13" max="16384"/>
  </cols>
  <sheetData>
    <row r="1" ht="20.4" customHeight="1">
      <c r="B1" s="90" t="inlineStr">
        <is>
          <t xml:space="preserve">NORTH TEXAS TOLLWAY AUTHORITY 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2" t="n"/>
    </row>
    <row r="2" ht="20.4" customHeight="1">
      <c r="B2" s="93" t="inlineStr">
        <is>
          <t>BID SHEET</t>
        </is>
      </c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  <c r="L2" s="95" t="n"/>
    </row>
    <row r="3" ht="20.4" customHeight="1">
      <c r="B3" s="93" t="inlineStr">
        <is>
          <t>06507-NTT-00-GS-MA</t>
        </is>
      </c>
      <c r="C3" s="94" t="n"/>
      <c r="D3" s="94" t="n"/>
      <c r="E3" s="94" t="n"/>
      <c r="F3" s="94" t="n"/>
      <c r="G3" s="94" t="n"/>
      <c r="H3" s="94" t="n"/>
      <c r="I3" s="94" t="n"/>
      <c r="J3" s="94" t="n"/>
      <c r="K3" s="94" t="n"/>
      <c r="L3" s="95" t="n"/>
    </row>
    <row r="4" ht="20.4" customHeight="1">
      <c r="B4" s="93" t="inlineStr">
        <is>
          <t>Janitorial Services for Ancillary Facilities</t>
        </is>
      </c>
      <c r="C4" s="94" t="n"/>
      <c r="D4" s="94" t="n"/>
      <c r="E4" s="94" t="n"/>
      <c r="F4" s="94" t="n"/>
      <c r="G4" s="94" t="n"/>
      <c r="H4" s="94" t="n"/>
      <c r="I4" s="94" t="n"/>
      <c r="J4" s="94" t="n"/>
      <c r="K4" s="94" t="n"/>
      <c r="L4" s="95" t="n"/>
    </row>
    <row r="5" ht="25.8" customHeight="1">
      <c r="B5" s="96" t="inlineStr">
        <is>
          <t>This quote will remain valid for 180 days from receipt.</t>
        </is>
      </c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8" t="n"/>
    </row>
    <row r="6" ht="23.4" customHeight="1">
      <c r="B6" s="99" t="inlineStr">
        <is>
          <t>FRISCO OPERATIONS CENTER - 11110 RESEARCH RD, FRISCO TEXAS 75033</t>
        </is>
      </c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1" t="n"/>
    </row>
    <row r="7" ht="24.6" customHeight="1">
      <c r="B7" s="68" t="n"/>
      <c r="C7" s="69" t="n"/>
      <c r="D7" s="102" t="inlineStr">
        <is>
          <t>YEAR 1</t>
        </is>
      </c>
      <c r="E7" s="97" t="n"/>
      <c r="F7" s="97" t="n"/>
      <c r="G7" s="103" t="n"/>
      <c r="H7" s="102" t="inlineStr">
        <is>
          <t>YEAR 2</t>
        </is>
      </c>
      <c r="I7" s="97" t="n"/>
      <c r="J7" s="97" t="n"/>
      <c r="K7" s="103" t="n"/>
      <c r="L7" s="37" t="n"/>
    </row>
    <row r="8" ht="59.4" customHeight="1">
      <c r="B8" s="2" t="inlineStr">
        <is>
          <t xml:space="preserve">ITEM No. </t>
        </is>
      </c>
      <c r="C8" s="3" t="inlineStr">
        <is>
          <t xml:space="preserve">DESCRIPTION </t>
        </is>
      </c>
      <c r="D8" s="3" t="inlineStr">
        <is>
          <t>TOTAL CLEANING SQ. FT.</t>
        </is>
      </c>
      <c r="E8" s="20" t="inlineStr">
        <is>
          <t>COST PER SQ. FT.</t>
        </is>
      </c>
      <c r="F8" s="20" t="inlineStr">
        <is>
          <t>MONTHLY COST</t>
        </is>
      </c>
      <c r="G8" s="24" t="inlineStr">
        <is>
          <t>TOTAL                         YEAR 1</t>
        </is>
      </c>
      <c r="H8" s="29" t="inlineStr">
        <is>
          <t>TOTAL CLEANING SQ. FT.</t>
        </is>
      </c>
      <c r="I8" s="20" t="inlineStr">
        <is>
          <t>COST PER SQ. FT.</t>
        </is>
      </c>
      <c r="J8" s="20" t="inlineStr">
        <is>
          <t>MONTHLY COST</t>
        </is>
      </c>
      <c r="K8" s="5" t="inlineStr">
        <is>
          <t>TOTAL                         YEAR 2</t>
        </is>
      </c>
      <c r="L8" s="5" t="inlineStr">
        <is>
          <t>EXTENDED TOTAL FOR 2 YEARS</t>
        </is>
      </c>
    </row>
    <row r="9" ht="41.4" customFormat="1" customHeight="1" s="56">
      <c r="B9" s="57" t="n">
        <v>1</v>
      </c>
      <c r="C9" s="77" t="inlineStr">
        <is>
          <t>6 Days of Cleaning (Sunday - Friday Night)</t>
        </is>
      </c>
      <c r="D9" s="59" t="n">
        <v>10846</v>
      </c>
      <c r="E9" s="60" t="n">
        <v>0.195</v>
      </c>
      <c r="F9" s="60">
        <f>SUM(D9*E9)</f>
        <v/>
      </c>
      <c r="G9" s="61">
        <f>SUM(F9*12)</f>
        <v/>
      </c>
      <c r="H9" s="59" t="n">
        <v>10846</v>
      </c>
      <c r="I9" s="62" t="n">
        <v>0.2</v>
      </c>
      <c r="J9" s="60">
        <f>SUM(H9*I9)</f>
        <v/>
      </c>
      <c r="K9" s="61">
        <f>SUM(J9*12)</f>
        <v/>
      </c>
      <c r="L9" s="63">
        <f>SUM(K9,G9)</f>
        <v/>
      </c>
    </row>
    <row r="10" ht="33" customFormat="1" customHeight="1" s="41">
      <c r="B10" s="49" t="n"/>
      <c r="C10" s="51" t="n"/>
      <c r="D10" s="100" t="n"/>
      <c r="E10" s="100" t="n"/>
      <c r="F10" s="100" t="n"/>
      <c r="G10" s="100" t="n"/>
      <c r="H10" s="100" t="n"/>
      <c r="I10" s="104" t="n"/>
      <c r="J10" s="3" t="inlineStr">
        <is>
          <t>SUBTOTAL</t>
        </is>
      </c>
      <c r="K10" s="104" t="n"/>
      <c r="L10" s="83">
        <f>SUM(L9)</f>
        <v/>
      </c>
    </row>
    <row r="11" ht="22.8" customFormat="1" customHeight="1" s="41">
      <c r="B11" s="99" t="inlineStr">
        <is>
          <t>PLANO OPERATIONS CENTER - 1080 OHIO DR, PLANO TEXAS 75093</t>
        </is>
      </c>
      <c r="C11" s="100" t="n"/>
      <c r="D11" s="100" t="n"/>
      <c r="E11" s="100" t="n"/>
      <c r="F11" s="100" t="n"/>
      <c r="G11" s="100" t="n"/>
      <c r="H11" s="100" t="n"/>
      <c r="I11" s="100" t="n"/>
      <c r="J11" s="100" t="n"/>
      <c r="K11" s="100" t="n"/>
      <c r="L11" s="101" t="n"/>
    </row>
    <row r="12" ht="28.2" customFormat="1" customHeight="1" s="41">
      <c r="B12" s="68" t="n"/>
      <c r="C12" s="69" t="n"/>
      <c r="D12" s="102" t="inlineStr">
        <is>
          <t>YEAR 1</t>
        </is>
      </c>
      <c r="E12" s="97" t="n"/>
      <c r="F12" s="97" t="n"/>
      <c r="G12" s="103" t="n"/>
      <c r="H12" s="102" t="inlineStr">
        <is>
          <t>YEAR 2</t>
        </is>
      </c>
      <c r="I12" s="97" t="n"/>
      <c r="J12" s="97" t="n"/>
      <c r="K12" s="103" t="n"/>
      <c r="L12" s="39" t="n"/>
    </row>
    <row r="13" ht="58.8" customFormat="1" customHeight="1" s="41">
      <c r="B13" s="2" t="inlineStr">
        <is>
          <t xml:space="preserve">ITEM No. </t>
        </is>
      </c>
      <c r="C13" s="3" t="inlineStr">
        <is>
          <t xml:space="preserve">DESCRIPTION </t>
        </is>
      </c>
      <c r="D13" s="3" t="inlineStr">
        <is>
          <t>TOTAL CLEANING SQ. FT.</t>
        </is>
      </c>
      <c r="E13" s="20" t="inlineStr">
        <is>
          <t>COST PER SQ. FT.</t>
        </is>
      </c>
      <c r="F13" s="20" t="inlineStr">
        <is>
          <t>MONTHLY COST</t>
        </is>
      </c>
      <c r="G13" s="24" t="inlineStr">
        <is>
          <t>TOTAL                         YEAR 1</t>
        </is>
      </c>
      <c r="H13" s="29" t="inlineStr">
        <is>
          <t>TOTAL CLEANING SQ. FT.</t>
        </is>
      </c>
      <c r="I13" s="20" t="inlineStr">
        <is>
          <t>COST PER SQ. FT.</t>
        </is>
      </c>
      <c r="J13" s="20" t="inlineStr">
        <is>
          <t>MONTHLY COST</t>
        </is>
      </c>
      <c r="K13" s="5" t="inlineStr">
        <is>
          <t>TOTAL                         YEAR 2</t>
        </is>
      </c>
      <c r="L13" s="5" t="inlineStr">
        <is>
          <t>EXTENDED TOTAL FOR 2 YEARS</t>
        </is>
      </c>
    </row>
    <row r="14" ht="43.2" customFormat="1" customHeight="1" s="64">
      <c r="B14" s="40" t="n">
        <v>2</v>
      </c>
      <c r="C14" s="77" t="inlineStr">
        <is>
          <t>6 Days of Cleaning (Sunday - Friday Night)</t>
        </is>
      </c>
      <c r="D14" s="55" t="n">
        <v>17393</v>
      </c>
      <c r="E14" s="65" t="n">
        <v>0.19</v>
      </c>
      <c r="F14" s="60">
        <f>SUM(D14*E14)</f>
        <v/>
      </c>
      <c r="G14" s="61">
        <f>SUM(F14*12)</f>
        <v/>
      </c>
      <c r="H14" s="55" t="n">
        <v>17393</v>
      </c>
      <c r="I14" s="65" t="n">
        <v>0.195</v>
      </c>
      <c r="J14" s="60">
        <f>SUM(H14*I14)</f>
        <v/>
      </c>
      <c r="K14" s="61">
        <f>SUM(J14*12)</f>
        <v/>
      </c>
      <c r="L14" s="63">
        <f>SUM(K14,G14)</f>
        <v/>
      </c>
    </row>
    <row r="15" ht="30" customFormat="1" customHeight="1" s="41">
      <c r="B15" s="23" t="n"/>
      <c r="C15" s="15" t="n"/>
      <c r="D15" s="16" t="n"/>
      <c r="E15" s="22" t="n"/>
      <c r="F15" s="17" t="n"/>
      <c r="G15" s="25" t="n"/>
      <c r="H15" s="41" t="n"/>
      <c r="I15" s="41" t="n"/>
      <c r="J15" s="105" t="inlineStr">
        <is>
          <t>SUBTOTAL</t>
        </is>
      </c>
      <c r="K15" s="106" t="n"/>
      <c r="L15" s="83">
        <f>SUM(L14)</f>
        <v/>
      </c>
    </row>
    <row r="16" ht="30" customFormat="1" customHeight="1" s="41">
      <c r="B16" s="99" t="inlineStr">
        <is>
          <t>MLP-3 OFFICES - 2803 DALLAS PARKWAY, PLANO TEXAS 75093</t>
        </is>
      </c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1" t="n"/>
    </row>
    <row r="17" ht="30" customFormat="1" customHeight="1" s="41">
      <c r="B17" s="23" t="n"/>
      <c r="C17" s="94" t="n"/>
      <c r="D17" s="102" t="inlineStr">
        <is>
          <t>YEAR 1</t>
        </is>
      </c>
      <c r="E17" s="97" t="n"/>
      <c r="F17" s="97" t="n"/>
      <c r="G17" s="103" t="n"/>
      <c r="H17" s="102" t="inlineStr">
        <is>
          <t>YEAR 2</t>
        </is>
      </c>
      <c r="I17" s="97" t="n"/>
      <c r="J17" s="97" t="n"/>
      <c r="K17" s="103" t="n"/>
      <c r="L17" s="38" t="n"/>
    </row>
    <row r="18" ht="57" customFormat="1" customHeight="1" s="41">
      <c r="B18" s="2" t="inlineStr">
        <is>
          <t xml:space="preserve">ITEM No. </t>
        </is>
      </c>
      <c r="C18" s="3" t="inlineStr">
        <is>
          <t xml:space="preserve">DESCRIPTION </t>
        </is>
      </c>
      <c r="D18" s="3" t="inlineStr">
        <is>
          <t>TOTAL CLEANING SQ. FT.</t>
        </is>
      </c>
      <c r="E18" s="20" t="inlineStr">
        <is>
          <t>COST PER SQ. FT.</t>
        </is>
      </c>
      <c r="F18" s="20" t="inlineStr">
        <is>
          <t>MONTHLY COST</t>
        </is>
      </c>
      <c r="G18" s="24" t="inlineStr">
        <is>
          <t>TOTAL                         YEAR 1</t>
        </is>
      </c>
      <c r="H18" s="29" t="inlineStr">
        <is>
          <t>TOTAL CLEANING SQ. FT.</t>
        </is>
      </c>
      <c r="I18" s="20" t="inlineStr">
        <is>
          <t>COST PER SQ. FT.</t>
        </is>
      </c>
      <c r="J18" s="20" t="inlineStr">
        <is>
          <t>MONTHLY COST</t>
        </is>
      </c>
      <c r="K18" s="5" t="inlineStr">
        <is>
          <t>TOTAL                         YEAR 2</t>
        </is>
      </c>
      <c r="L18" s="5" t="inlineStr">
        <is>
          <t>EXTENDED TOTAL FOR 2 YEARS</t>
        </is>
      </c>
    </row>
    <row r="19" ht="46.8" customFormat="1" customHeight="1" s="41">
      <c r="B19" s="40" t="n">
        <v>3</v>
      </c>
      <c r="C19" s="77" t="inlineStr">
        <is>
          <t>5 Days of Cleaning (Sunday - Thursday Night)</t>
        </is>
      </c>
      <c r="D19" s="55" t="n">
        <v>7083</v>
      </c>
      <c r="E19" s="66" t="n">
        <v>0.2</v>
      </c>
      <c r="F19" s="60">
        <f>SUM(D19*E19)</f>
        <v/>
      </c>
      <c r="G19" s="61">
        <f>SUM(F19*12)</f>
        <v/>
      </c>
      <c r="H19" s="55" t="n">
        <v>7083</v>
      </c>
      <c r="I19" s="66" t="n">
        <v>0.205</v>
      </c>
      <c r="J19" s="60">
        <f>SUM(H19*I19)</f>
        <v/>
      </c>
      <c r="K19" s="61">
        <f>SUM(J19*12)</f>
        <v/>
      </c>
      <c r="L19" s="63">
        <f>SUM(K19,G19)</f>
        <v/>
      </c>
    </row>
    <row r="20" ht="30" customFormat="1" customHeight="1" s="41">
      <c r="B20" s="23" t="n"/>
      <c r="C20" s="15" t="n"/>
      <c r="D20" s="16" t="n"/>
      <c r="E20" s="22" t="n"/>
      <c r="F20" s="17" t="n"/>
      <c r="G20" s="25" t="n"/>
      <c r="H20" s="41" t="n"/>
      <c r="I20" s="41" t="n"/>
      <c r="J20" s="105" t="inlineStr">
        <is>
          <t>SUBTOTAL</t>
        </is>
      </c>
      <c r="K20" s="106" t="n"/>
      <c r="L20" s="83">
        <f>SUM(L19)</f>
        <v/>
      </c>
    </row>
    <row r="21" ht="30" customFormat="1" customHeight="1" s="41">
      <c r="B21" s="99" t="inlineStr">
        <is>
          <t>MLP-4 OFFICES - 10350 DALLAS PARKWAY, FRISCO TEXAS 75034</t>
        </is>
      </c>
      <c r="C21" s="100" t="n"/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1" t="n"/>
    </row>
    <row r="22" ht="30" customFormat="1" customHeight="1" s="41">
      <c r="B22" s="23" t="n"/>
      <c r="C22" s="15" t="n"/>
      <c r="D22" s="102" t="inlineStr">
        <is>
          <t>YEAR 1</t>
        </is>
      </c>
      <c r="E22" s="97" t="n"/>
      <c r="F22" s="97" t="n"/>
      <c r="G22" s="103" t="n"/>
      <c r="H22" s="102" t="inlineStr">
        <is>
          <t>YEAR 2</t>
        </is>
      </c>
      <c r="I22" s="97" t="n"/>
      <c r="J22" s="97" t="n"/>
      <c r="K22" s="103" t="n"/>
      <c r="L22" s="38" t="n"/>
    </row>
    <row r="23" ht="63" customFormat="1" customHeight="1" s="41">
      <c r="B23" s="2" t="inlineStr">
        <is>
          <t xml:space="preserve">ITEM No. </t>
        </is>
      </c>
      <c r="C23" s="3" t="inlineStr">
        <is>
          <t xml:space="preserve">DESCRIPTION </t>
        </is>
      </c>
      <c r="D23" s="3" t="inlineStr">
        <is>
          <t>TOTAL CLEANING SQ. FT.</t>
        </is>
      </c>
      <c r="E23" s="20" t="inlineStr">
        <is>
          <t>COST PER SQ. FT.</t>
        </is>
      </c>
      <c r="F23" s="20" t="inlineStr">
        <is>
          <t>MONTHLY COST</t>
        </is>
      </c>
      <c r="G23" s="24" t="inlineStr">
        <is>
          <t>TOTAL                         YEAR 1</t>
        </is>
      </c>
      <c r="H23" s="29" t="inlineStr">
        <is>
          <t>TOTAL CLEANING SQ. FT.</t>
        </is>
      </c>
      <c r="I23" s="20" t="inlineStr">
        <is>
          <t>COST PER SQ. FT.</t>
        </is>
      </c>
      <c r="J23" s="20" t="inlineStr">
        <is>
          <t>MONTHLY COST</t>
        </is>
      </c>
      <c r="K23" s="5" t="inlineStr">
        <is>
          <t>TOTAL                         YEAR 2</t>
        </is>
      </c>
      <c r="L23" s="5" t="inlineStr">
        <is>
          <t>EXTENDED TOTAL FOR 2 YEARS</t>
        </is>
      </c>
    </row>
    <row r="24" ht="45" customFormat="1" customHeight="1" s="41">
      <c r="B24" s="40" t="n">
        <v>4</v>
      </c>
      <c r="C24" s="77" t="inlineStr">
        <is>
          <t>5 Days of Cleaning (Sunday - Thursday Night)</t>
        </is>
      </c>
      <c r="D24" s="55" t="n">
        <v>3045</v>
      </c>
      <c r="E24" s="66" t="n">
        <v>0.21</v>
      </c>
      <c r="F24" s="60">
        <f>SUM(D24*E24)</f>
        <v/>
      </c>
      <c r="G24" s="61">
        <f>SUM(F24*12)</f>
        <v/>
      </c>
      <c r="H24" s="55" t="n">
        <v>3045</v>
      </c>
      <c r="I24" s="66" t="n">
        <v>0.215</v>
      </c>
      <c r="J24" s="60">
        <f>SUM(H24*I24)</f>
        <v/>
      </c>
      <c r="K24" s="61">
        <f>SUM(J24*12)</f>
        <v/>
      </c>
      <c r="L24" s="63">
        <f>SUM(K24,G24)</f>
        <v/>
      </c>
    </row>
    <row r="25" ht="30" customHeight="1">
      <c r="B25" s="18" t="n"/>
      <c r="C25" s="19" t="n"/>
      <c r="D25" s="19" t="n"/>
      <c r="E25" s="19" t="n"/>
      <c r="F25" s="19" t="n"/>
      <c r="G25" s="27" t="n"/>
      <c r="H25" s="42" t="n"/>
      <c r="I25" s="42" t="n"/>
      <c r="J25" s="105" t="inlineStr">
        <is>
          <t>SUBTOTAL</t>
        </is>
      </c>
      <c r="K25" s="106" t="n"/>
      <c r="L25" s="83">
        <f>SUM(L24)</f>
        <v/>
      </c>
    </row>
    <row r="26" ht="30.6" customHeight="1">
      <c r="B26" s="99" t="inlineStr">
        <is>
          <t>DAY PORTER SERVICE</t>
        </is>
      </c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1" t="n"/>
    </row>
    <row r="27" ht="33" customHeight="1">
      <c r="B27" s="18" t="n"/>
      <c r="C27" s="19" t="n"/>
      <c r="D27" s="102" t="inlineStr">
        <is>
          <t>YEAR 1</t>
        </is>
      </c>
      <c r="E27" s="97" t="n"/>
      <c r="F27" s="97" t="n"/>
      <c r="G27" s="103" t="n"/>
      <c r="H27" s="102" t="inlineStr">
        <is>
          <t>YEAR 2</t>
        </is>
      </c>
      <c r="I27" s="97" t="n"/>
      <c r="J27" s="97" t="n"/>
      <c r="K27" s="103" t="n"/>
      <c r="L27" s="37" t="n"/>
    </row>
    <row r="28" ht="56.4" customHeight="1">
      <c r="B28" s="2" t="inlineStr">
        <is>
          <t xml:space="preserve">ITEM No. </t>
        </is>
      </c>
      <c r="C28" s="3" t="inlineStr">
        <is>
          <t xml:space="preserve">DESCRIPTION </t>
        </is>
      </c>
      <c r="D28" s="3" t="inlineStr">
        <is>
          <t>ANNUAL HOURS</t>
        </is>
      </c>
      <c r="E28" s="104" t="n"/>
      <c r="F28" s="20" t="inlineStr">
        <is>
          <t>HOURLY RATE</t>
        </is>
      </c>
      <c r="G28" s="24" t="inlineStr">
        <is>
          <t>TOTAL                         YEAR 1</t>
        </is>
      </c>
      <c r="H28" s="3" t="inlineStr">
        <is>
          <t>ANNUAL HOURS</t>
        </is>
      </c>
      <c r="I28" s="104" t="n"/>
      <c r="J28" s="20" t="inlineStr">
        <is>
          <t>HOURLY RATE</t>
        </is>
      </c>
      <c r="K28" s="5" t="inlineStr">
        <is>
          <t>TOTAL                         YEAR 2</t>
        </is>
      </c>
      <c r="L28" s="5" t="inlineStr">
        <is>
          <t>EXTENDED TOTAL FOR 2 YEARS</t>
        </is>
      </c>
    </row>
    <row r="29" ht="42.6" customHeight="1">
      <c r="B29" s="40" t="n">
        <v>5</v>
      </c>
      <c r="C29" s="77" t="inlineStr">
        <is>
          <t>5 Days of cleaning, day porter service for 2,080 hours per year</t>
        </is>
      </c>
      <c r="D29" s="55" t="n">
        <v>2080</v>
      </c>
      <c r="E29" s="104" t="n"/>
      <c r="F29" s="66" t="n">
        <v>21.75</v>
      </c>
      <c r="G29" s="67">
        <f>SUM(D29*F29)</f>
        <v/>
      </c>
      <c r="H29" s="55" t="n">
        <v>2080</v>
      </c>
      <c r="I29" s="104" t="n"/>
      <c r="J29" s="66" t="n">
        <v>22.25</v>
      </c>
      <c r="K29" s="67">
        <f>SUM(H29*J29)</f>
        <v/>
      </c>
      <c r="L29" s="63">
        <f>SUM(K29,G29)</f>
        <v/>
      </c>
    </row>
    <row r="30" ht="31.2" customHeight="1">
      <c r="B30" s="18" t="n"/>
      <c r="C30" s="19" t="n"/>
      <c r="D30" s="19" t="n"/>
      <c r="E30" s="19" t="n"/>
      <c r="F30" s="19" t="n"/>
      <c r="G30" s="26" t="n"/>
      <c r="H30" s="42" t="n"/>
      <c r="I30" s="42" t="n"/>
      <c r="J30" s="3" t="inlineStr">
        <is>
          <t>SUBTOTAL</t>
        </is>
      </c>
      <c r="K30" s="104" t="n"/>
      <c r="L30" s="83">
        <f>SUM(L29)</f>
        <v/>
      </c>
    </row>
    <row r="31" ht="24.9" customHeight="1" thickBot="1">
      <c r="B31" s="18" t="n"/>
      <c r="C31" s="19" t="n"/>
      <c r="D31" s="19" t="n"/>
      <c r="E31" s="19" t="n"/>
      <c r="F31" s="19" t="n"/>
      <c r="G31" s="26" t="n"/>
      <c r="H31" s="42" t="n"/>
      <c r="I31" s="42" t="n"/>
      <c r="J31" s="42" t="n"/>
      <c r="K31" s="42" t="n"/>
      <c r="L31" s="37" t="n"/>
    </row>
    <row r="32" ht="44.4" customHeight="1" thickBot="1">
      <c r="B32" s="18" t="n"/>
      <c r="C32" s="3" t="inlineStr">
        <is>
          <t>DESCRIPTION OF SERVICE</t>
        </is>
      </c>
      <c r="D32" s="3" t="inlineStr">
        <is>
          <t>PER VISIT CHARGE</t>
        </is>
      </c>
      <c r="E32" s="19" t="n"/>
      <c r="F32" s="19" t="n"/>
      <c r="G32" s="26" t="n"/>
      <c r="H32" s="42" t="n"/>
      <c r="I32" s="42" t="n"/>
      <c r="J32" s="107" t="inlineStr">
        <is>
          <t>TOTAL 2-YEAR BID                    AMOUNT</t>
        </is>
      </c>
      <c r="K32" s="108" t="n"/>
      <c r="L32" s="82">
        <f>SUM(L30,L25,L20,L15,L10)</f>
        <v/>
      </c>
    </row>
    <row r="33" ht="42" customHeight="1">
      <c r="B33" s="18" t="n"/>
      <c r="C33" s="32" t="inlineStr">
        <is>
          <t>Deep Clean Infection Control</t>
        </is>
      </c>
      <c r="D33" s="33" t="n">
        <v>650</v>
      </c>
      <c r="E33" s="19" t="n"/>
      <c r="F33" s="19" t="n"/>
      <c r="G33" s="26" t="n"/>
      <c r="H33" s="42" t="n"/>
      <c r="I33" s="42" t="n"/>
      <c r="J33" s="42" t="n"/>
      <c r="K33" s="42" t="n"/>
      <c r="L33" s="37" t="n"/>
    </row>
    <row r="34" ht="24.9" customHeight="1">
      <c r="B34" s="7" t="n"/>
      <c r="C34" s="26" t="n"/>
      <c r="D34" s="26" t="n"/>
      <c r="E34" s="42" t="n"/>
      <c r="F34" s="42" t="n"/>
      <c r="G34" s="42" t="n"/>
      <c r="H34" s="42" t="n"/>
      <c r="I34" s="42" t="n"/>
      <c r="J34" s="42" t="n"/>
      <c r="K34" s="42" t="n"/>
      <c r="L34" s="37" t="n"/>
    </row>
    <row r="35" ht="45.75" customHeight="1" thickBot="1">
      <c r="B35" s="11" t="n"/>
      <c r="C35" s="109" t="n"/>
      <c r="D35" s="26" t="n"/>
      <c r="E35" s="26" t="n"/>
      <c r="F35" s="34" t="n"/>
      <c r="G35" s="109" t="n"/>
      <c r="H35" s="109" t="n"/>
      <c r="I35" s="109" t="n"/>
      <c r="J35" s="42" t="n"/>
      <c r="K35" s="42" t="n"/>
      <c r="L35" s="37" t="n"/>
    </row>
    <row r="36" ht="24.9" customHeight="1">
      <c r="B36" s="43" t="inlineStr">
        <is>
          <t>COMPANY NAME (PRINTED)</t>
        </is>
      </c>
      <c r="C36" s="94" t="n"/>
      <c r="D36" s="28" t="n"/>
      <c r="E36" s="28" t="n"/>
      <c r="F36" s="30" t="inlineStr">
        <is>
          <t xml:space="preserve">SIGNATURE  </t>
        </is>
      </c>
      <c r="G36" s="94" t="n"/>
      <c r="H36" s="94" t="n"/>
      <c r="I36" s="94" t="n"/>
      <c r="J36" s="42" t="n"/>
      <c r="K36" s="42" t="n"/>
      <c r="L36" s="37" t="n"/>
    </row>
    <row r="37" ht="57" customHeight="1" thickBot="1">
      <c r="B37" s="11" t="inlineStr">
        <is>
          <t>HWB Cleaning Services LLC</t>
        </is>
      </c>
      <c r="C37" s="109" t="n"/>
      <c r="D37" s="28" t="n"/>
      <c r="E37" s="28" t="n"/>
      <c r="F37" s="35" t="n"/>
      <c r="G37" s="109" t="n"/>
      <c r="H37" s="109" t="n"/>
      <c r="I37" s="109" t="n"/>
      <c r="J37" s="42" t="n"/>
      <c r="K37" s="42" t="n"/>
      <c r="L37" s="37" t="n"/>
    </row>
    <row r="38" ht="24.9" customHeight="1">
      <c r="B38" s="43" t="inlineStr">
        <is>
          <t>AUTHORIZED AGENT (PRINTED)</t>
        </is>
      </c>
      <c r="C38" s="94" t="n"/>
      <c r="D38" s="28" t="n"/>
      <c r="E38" s="28" t="n"/>
      <c r="F38" s="30" t="inlineStr">
        <is>
          <t xml:space="preserve">DATE </t>
        </is>
      </c>
      <c r="G38" s="94" t="n"/>
      <c r="H38" s="94" t="n"/>
      <c r="I38" s="94" t="n"/>
      <c r="J38" s="42" t="n"/>
      <c r="K38" s="42" t="n"/>
      <c r="L38" s="37" t="n"/>
    </row>
    <row r="39" ht="16.8" customHeight="1">
      <c r="B39" s="9" t="inlineStr">
        <is>
          <t>Humberto Dominguez, CEO</t>
        </is>
      </c>
      <c r="C39" s="31" t="n"/>
      <c r="D39" s="31" t="n"/>
      <c r="E39" s="31" t="n"/>
      <c r="F39" s="31" t="inlineStr">
        <is>
          <t>09/18/2026</t>
        </is>
      </c>
      <c r="G39" s="31" t="n"/>
      <c r="H39" s="42" t="n"/>
      <c r="I39" s="42" t="n"/>
      <c r="J39" s="42" t="n"/>
      <c r="K39" s="42" t="n"/>
      <c r="L39" s="37" t="n"/>
    </row>
    <row r="40" ht="21" customHeight="1">
      <c r="B40" s="110" t="inlineStr">
        <is>
          <t xml:space="preserve">Sign and return this Quote Sheet.
</t>
        </is>
      </c>
      <c r="C40" s="94" t="n"/>
      <c r="D40" s="94" t="n"/>
      <c r="E40" s="94" t="n"/>
      <c r="F40" s="94" t="n"/>
      <c r="G40" s="94" t="n"/>
      <c r="H40" s="94" t="n"/>
      <c r="I40" s="94" t="n"/>
      <c r="J40" s="94" t="n"/>
      <c r="K40" s="94" t="n"/>
      <c r="L40" s="95" t="n"/>
    </row>
    <row r="41" ht="21" customHeight="1">
      <c r="B41" s="110" t="inlineStr">
        <is>
          <t>Making changes to this Quote Sheet may result in your quote being disqualified.</t>
        </is>
      </c>
      <c r="C41" s="94" t="n"/>
      <c r="D41" s="94" t="n"/>
      <c r="E41" s="94" t="n"/>
      <c r="F41" s="94" t="n"/>
      <c r="G41" s="94" t="n"/>
      <c r="H41" s="94" t="n"/>
      <c r="I41" s="94" t="n"/>
      <c r="J41" s="94" t="n"/>
      <c r="K41" s="94" t="n"/>
      <c r="L41" s="95" t="n"/>
    </row>
    <row r="42" ht="21" customHeight="1" thickBot="1">
      <c r="B42" s="111" t="inlineStr">
        <is>
          <t>By signing this Quote Sheet, you acknowledge and agree to all addenda related to this solicitation.</t>
        </is>
      </c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12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4lmDVmKaRel1HvHAvkyWew==" formatRows="1" sort="1" spinCount="100000" hashValue="oCGj00pj3bRW62sNpBPB7QAJ+HpP2S45kANKD4mqUDAIAoX5MmxxGzl2bvkm3DS/wsb+tutHq9CzKkKpjz+mMQ=="/>
  <mergeCells count="43">
    <mergeCell ref="B4:L4"/>
    <mergeCell ref="H22:K22"/>
    <mergeCell ref="B26:L26"/>
    <mergeCell ref="H27:K27"/>
    <mergeCell ref="B16:L16"/>
    <mergeCell ref="H29:I29"/>
    <mergeCell ref="D12:G12"/>
    <mergeCell ref="J10:K10"/>
    <mergeCell ref="H12:K12"/>
    <mergeCell ref="B3:L3"/>
    <mergeCell ref="F37:I37"/>
    <mergeCell ref="J30:K30"/>
    <mergeCell ref="B21:L21"/>
    <mergeCell ref="J15:K15"/>
    <mergeCell ref="B11:L11"/>
    <mergeCell ref="B2:L2"/>
    <mergeCell ref="B42:L42"/>
    <mergeCell ref="B17:C17"/>
    <mergeCell ref="B1:L1"/>
    <mergeCell ref="D22:G22"/>
    <mergeCell ref="B38:C38"/>
    <mergeCell ref="J20:K20"/>
    <mergeCell ref="B37:C37"/>
    <mergeCell ref="J32:K32"/>
    <mergeCell ref="J25:K25"/>
    <mergeCell ref="D28:E28"/>
    <mergeCell ref="C10:I10"/>
    <mergeCell ref="H28:I28"/>
    <mergeCell ref="D27:G27"/>
    <mergeCell ref="B40:L40"/>
    <mergeCell ref="F36:I36"/>
    <mergeCell ref="D17:G17"/>
    <mergeCell ref="B6:L6"/>
    <mergeCell ref="F35:I35"/>
    <mergeCell ref="H17:K17"/>
    <mergeCell ref="D29:E29"/>
    <mergeCell ref="B5:L5"/>
    <mergeCell ref="D7:G7"/>
    <mergeCell ref="B36:C36"/>
    <mergeCell ref="F38:I38"/>
    <mergeCell ref="H7:K7"/>
    <mergeCell ref="B35:C35"/>
    <mergeCell ref="B41:L41"/>
  </mergeCells>
  <pageMargins left="0.25" right="0.25" top="0.75" bottom="0.75" header="0.3" footer="0.3"/>
  <pageSetup orientation="portrait" scale="55"/>
  <headerFooter>
    <oddHeader/>
    <oddFooter>&amp;R&amp;"Times New Roman,Bold"&amp;9 Rev. February 2023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Valentine, Reginald</dc:creator>
  <dcterms:created xmlns:dcterms="http://purl.org/dc/terms/" xmlns:xsi="http://www.w3.org/2001/XMLSchema-instance" xsi:type="dcterms:W3CDTF">2015-08-11T20:55:25Z</dcterms:created>
  <dcterms:modified xmlns:dcterms="http://purl.org/dc/terms/" xmlns:xsi="http://www.w3.org/2001/XMLSchema-instance" xsi:type="dcterms:W3CDTF">2026-09-18T15:18:34Z</dcterms:modified>
  <cp:lastModifiedBy>Kimberly Madewell</cp:lastModifiedBy>
  <cp:lastPrinted>2026-02-12T19:48:43Z</cp:lastPrinted>
</cp:coreProperties>
</file>