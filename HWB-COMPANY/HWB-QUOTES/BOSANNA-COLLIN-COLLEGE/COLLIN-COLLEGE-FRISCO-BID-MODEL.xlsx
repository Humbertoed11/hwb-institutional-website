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_Brief" sheetId="1" state="visible" r:id="rId1"/>
    <sheet xmlns:r="http://schemas.openxmlformats.org/officeDocument/2006/relationships" name="Commercial_Proposal" sheetId="2" state="visible" r:id="rId2"/>
    <sheet xmlns:r="http://schemas.openxmlformats.org/officeDocument/2006/relationships" name="Service_Gantt_Schedule" sheetId="3" state="visible" r:id="rId3"/>
    <sheet xmlns:r="http://schemas.openxmlformats.org/officeDocument/2006/relationships" name="Employee_Training_Matrix" sheetId="4" state="visible" r:id="rId4"/>
    <sheet xmlns:r="http://schemas.openxmlformats.org/officeDocument/2006/relationships" name="Campus_Building_Takeoff" sheetId="5" state="visible" r:id="rId5"/>
    <sheet xmlns:r="http://schemas.openxmlformats.org/officeDocument/2006/relationships" name="Cost_Underwriting_Audit" sheetId="6" state="visible" r:id="rId6"/>
  </sheets>
  <definedNames>
    <definedName name="_xlnm.Print_Titles" localSheetId="0">'Executive_Brief'!$1:$8</definedName>
    <definedName name="_xlnm.Print_Area" localSheetId="0">'Executive_Brief'!$A$1:$H$62</definedName>
    <definedName name="_xlnm.Print_Titles" localSheetId="1">'Commercial_Proposal'!$1:$8</definedName>
    <definedName name="_xlnm.Print_Area" localSheetId="1">'Commercial_Proposal'!$A$1:$I$83</definedName>
    <definedName name="_xlnm.Print_Titles" localSheetId="3">'Employee_Training_Matrix'!$1:$8</definedName>
    <definedName name="_xlnm.Print_Area" localSheetId="3">'Employee_Training_Matrix'!$A$1:$H$43</definedName>
  </definedNames>
  <calcPr calcId="124519" fullCalcOnLoad="1"/>
</workbook>
</file>

<file path=xl/styles.xml><?xml version="1.0" encoding="utf-8"?>
<styleSheet xmlns="http://schemas.openxmlformats.org/spreadsheetml/2006/main">
  <numFmts count="7">
    <numFmt numFmtId="164" formatCode="$#,##0.00"/>
    <numFmt numFmtId="165" formatCode="$#,##0.000"/>
    <numFmt numFmtId="166" formatCode="#,##0.0 &quot;hrs&quot;"/>
    <numFmt numFmtId="167" formatCode="0.0%"/>
    <numFmt numFmtId="168" formatCode="#,##0.0"/>
    <numFmt numFmtId="169" formatCode="#,##0 &quot;Cases&quot;"/>
    <numFmt numFmtId="170" formatCode="#,##0.0 &quot;Cases/Mo&quot;"/>
  </numFmts>
  <fonts count="26">
    <font>
      <name val="Calibri"/>
      <family val="2"/>
      <color theme="1"/>
      <sz val="11"/>
      <scheme val="minor"/>
    </font>
    <font>
      <name val="Calibri"/>
      <b val="1"/>
      <color rgb="00FFFFFF"/>
      <sz val="15"/>
    </font>
    <font>
      <name val="Calibri"/>
      <b val="1"/>
      <color rgb="00E2E8F0"/>
      <sz val="11"/>
    </font>
    <font>
      <name val="Calibri"/>
      <b val="1"/>
      <color rgb="001E293B"/>
      <sz val="10"/>
    </font>
    <font>
      <name val="Calibri"/>
      <color rgb="001E293B"/>
      <sz val="10"/>
    </font>
    <font>
      <name val="Calibri"/>
      <b val="1"/>
      <color rgb="001B365D"/>
      <sz val="12"/>
    </font>
    <font>
      <name val="Calibri"/>
      <color rgb="004A5568"/>
      <sz val="9"/>
    </font>
    <font>
      <name val="Calibri"/>
      <b val="1"/>
      <color rgb="00FFFFFF"/>
      <sz val="10"/>
    </font>
    <font>
      <name val="Calibri"/>
      <b val="1"/>
      <color rgb="000F5132"/>
      <sz val="11"/>
    </font>
    <font>
      <name val="Calibri"/>
      <color rgb="00533F03"/>
      <sz val="9"/>
    </font>
    <font>
      <name val="Calibri"/>
      <b val="1"/>
      <color rgb="00FFFFFF"/>
      <sz val="11"/>
    </font>
    <font>
      <name val="Calibri"/>
      <b val="1"/>
      <color rgb="0092400E"/>
      <sz val="10"/>
    </font>
    <font>
      <name val="Calibri"/>
      <color rgb="0078350F"/>
      <sz val="9"/>
    </font>
    <font>
      <name val="Calibri"/>
      <b val="1"/>
      <color rgb="0078350F"/>
      <sz val="9"/>
    </font>
    <font>
      <name val="Calibri"/>
      <b val="1"/>
      <color rgb="00FFFFFF"/>
      <sz val="14"/>
    </font>
    <font>
      <name val="Calibri"/>
      <b val="1"/>
      <color rgb="000F172A"/>
      <sz val="9.5"/>
    </font>
    <font>
      <name val="Calibri"/>
      <color rgb="001E293B"/>
      <sz val="9.5"/>
    </font>
    <font>
      <name val="Calibri"/>
      <i val="1"/>
      <color rgb="00475569"/>
      <sz val="9"/>
    </font>
    <font>
      <name val="Calibri"/>
      <b val="1"/>
      <color rgb="001E3A8A"/>
      <sz val="10"/>
    </font>
    <font>
      <name val="Calibri"/>
      <b val="1"/>
      <color rgb="0092400E"/>
      <sz val="9.5"/>
    </font>
    <font>
      <name val="Calibri"/>
      <i val="1"/>
      <color rgb="00334155"/>
      <sz val="9.5"/>
    </font>
    <font>
      <name val="Calibri"/>
      <b val="1"/>
      <color rgb="001E3A8A"/>
      <sz val="9"/>
    </font>
    <font>
      <name val="Calibri"/>
      <b val="1"/>
      <color rgb="000F172A"/>
      <sz val="13"/>
    </font>
    <font>
      <name val="Calibri"/>
      <i val="1"/>
      <color rgb="00475569"/>
      <sz val="8.5"/>
    </font>
    <font>
      <name val="Calibri"/>
      <i val="1"/>
      <color rgb="00334155"/>
      <sz val="9"/>
    </font>
    <font>
      <name val="Calibri"/>
      <b val="1"/>
      <color rgb="00065F46"/>
      <sz val="9.5"/>
    </font>
  </fonts>
  <fills count="23">
    <fill>
      <patternFill/>
    </fill>
    <fill>
      <patternFill patternType="gray125"/>
    </fill>
    <fill>
      <patternFill patternType="solid">
        <fgColor rgb="001B365D"/>
        <bgColor rgb="001B365D"/>
      </patternFill>
    </fill>
    <fill>
      <patternFill patternType="solid">
        <fgColor rgb="002C5282"/>
        <bgColor rgb="002C5282"/>
      </patternFill>
    </fill>
    <fill>
      <patternFill patternType="solid">
        <fgColor rgb="00D1E7DD"/>
        <bgColor rgb="00D1E7DD"/>
      </patternFill>
    </fill>
    <fill>
      <patternFill patternType="solid">
        <fgColor rgb="00FFF3CD"/>
        <bgColor rgb="00FFF3CD"/>
      </patternFill>
    </fill>
    <fill>
      <patternFill patternType="solid">
        <fgColor rgb="004A5568"/>
        <bgColor rgb="004A5568"/>
      </patternFill>
    </fill>
    <fill>
      <patternFill patternType="solid">
        <fgColor rgb="003182CE"/>
        <bgColor rgb="003182CE"/>
      </patternFill>
    </fill>
    <fill>
      <patternFill patternType="solid">
        <fgColor rgb="00DD6B20"/>
        <bgColor rgb="00DD6B20"/>
      </patternFill>
    </fill>
    <fill>
      <patternFill patternType="solid">
        <fgColor rgb="00EBF8FF"/>
        <bgColor rgb="00EBF8FF"/>
      </patternFill>
    </fill>
    <fill>
      <patternFill patternType="solid">
        <fgColor rgb="00D97706"/>
        <bgColor rgb="00D97706"/>
      </patternFill>
    </fill>
    <fill>
      <patternFill patternType="solid">
        <fgColor rgb="00FEF3C7"/>
        <bgColor rgb="00FEF3C7"/>
      </patternFill>
    </fill>
    <fill>
      <patternFill patternType="solid">
        <fgColor rgb="00FFFBEB"/>
        <bgColor rgb="00FFFBEB"/>
      </patternFill>
    </fill>
    <fill>
      <patternFill patternType="solid">
        <fgColor rgb="000F172A"/>
        <bgColor rgb="000F172A"/>
      </patternFill>
    </fill>
    <fill>
      <patternFill patternType="solid">
        <fgColor rgb="00334155"/>
        <bgColor rgb="00334155"/>
      </patternFill>
    </fill>
    <fill>
      <patternFill patternType="solid">
        <fgColor rgb="001E3A8A"/>
        <bgColor rgb="001E3A8A"/>
      </patternFill>
    </fill>
    <fill>
      <patternFill patternType="solid">
        <fgColor rgb="00DBEAFE"/>
        <bgColor rgb="00DBEAFE"/>
      </patternFill>
    </fill>
    <fill>
      <patternFill patternType="solid">
        <fgColor rgb="00BFDBFE"/>
        <bgColor rgb="00BFDBFE"/>
      </patternFill>
    </fill>
    <fill>
      <patternFill patternType="solid">
        <fgColor rgb="00E0E7FF"/>
        <bgColor rgb="00E0E7FF"/>
      </patternFill>
    </fill>
    <fill>
      <patternFill patternType="solid">
        <fgColor rgb="00F1F5F9"/>
        <bgColor rgb="00F1F5F9"/>
      </patternFill>
    </fill>
    <fill>
      <patternFill patternType="solid">
        <fgColor rgb="00EFF6FF"/>
        <bgColor rgb="00EFF6FF"/>
      </patternFill>
    </fill>
    <fill>
      <patternFill patternType="solid">
        <fgColor rgb="00F8FAFC"/>
        <bgColor rgb="00F8FAFC"/>
      </patternFill>
    </fill>
    <fill>
      <patternFill patternType="solid">
        <fgColor rgb="00ECFDF5"/>
        <bgColor rgb="00ECFDF5"/>
      </patternFill>
    </fill>
  </fills>
  <borders count="34">
    <border>
      <left/>
      <right/>
      <top/>
      <bottom/>
      <diagonal/>
    </border>
    <border>
      <left style="thin">
        <color rgb="00CBD5E0"/>
      </left>
      <right style="thin">
        <color rgb="00CBD5E0"/>
      </right>
      <top style="thin">
        <color rgb="00CBD5E0"/>
      </top>
      <bottom style="medium">
        <color rgb="001B365D"/>
      </bottom>
    </border>
    <border>
      <left style="thin">
        <color rgb="00CBD5E0"/>
      </left>
      <right style="thin">
        <color rgb="00CBD5E0"/>
      </right>
      <top style="thin">
        <color rgb="00CBD5E0"/>
      </top>
      <bottom style="thin">
        <color rgb="00CBD5E0"/>
      </bottom>
    </border>
    <border>
      <left style="thin">
        <color rgb="00CBD5E0"/>
      </left>
      <right style="thin">
        <color rgb="00CBD5E0"/>
      </right>
      <top style="thin">
        <color rgb="00CBD5E0"/>
      </top>
      <bottom style="double">
        <color rgb="001B365D"/>
      </bottom>
    </border>
    <border>
      <left style="thin">
        <color rgb="00F59E0B"/>
      </left>
      <right style="thin">
        <color rgb="00F59E0B"/>
      </right>
      <top style="thin">
        <color rgb="00F59E0B"/>
      </top>
      <bottom style="thin">
        <color rgb="00F59E0B"/>
      </bottom>
    </border>
    <border>
      <left/>
      <right/>
      <top style="thin">
        <color rgb="00F59E0B"/>
      </top>
      <bottom/>
      <diagonal/>
    </border>
    <border>
      <left/>
      <right style="thin">
        <color rgb="00F59E0B"/>
      </right>
      <top style="thin">
        <color rgb="00F59E0B"/>
      </top>
      <bottom/>
      <diagonal/>
    </border>
    <border>
      <left/>
      <right style="thin">
        <color rgb="00F59E0B"/>
      </right>
      <top style="thin">
        <color rgb="00F59E0B"/>
      </top>
      <bottom style="thin">
        <color rgb="00F59E0B"/>
      </bottom>
      <diagonal/>
    </border>
    <border>
      <left/>
      <right/>
      <top style="thin">
        <color rgb="00F59E0B"/>
      </top>
      <bottom style="thin">
        <color rgb="00F59E0B"/>
      </bottom>
      <diagonal/>
    </border>
    <border>
      <left style="thin">
        <color rgb="00CBD5E1"/>
      </left>
      <right style="thin">
        <color rgb="00CBD5E1"/>
      </right>
      <top style="thin">
        <color rgb="00CBD5E1"/>
      </top>
      <bottom style="thin">
        <color rgb="00CBD5E1"/>
      </bottom>
    </border>
    <border>
      <left style="thin">
        <color rgb="00CBD5E1"/>
      </left>
      <right style="thin">
        <color rgb="00CBD5E1"/>
      </right>
      <top style="thin">
        <color rgb="00CBD5E1"/>
      </top>
      <bottom style="double">
        <color rgb="001E3A8A"/>
      </bottom>
    </border>
    <border>
      <left/>
      <right/>
      <top style="thin">
        <color rgb="00CBD5E1"/>
      </top>
      <bottom/>
      <diagonal/>
    </border>
    <border>
      <left/>
      <right style="thin">
        <color rgb="00CBD5E1"/>
      </right>
      <top style="thin">
        <color rgb="00CBD5E1"/>
      </top>
      <bottom/>
      <diagonal/>
    </border>
    <border>
      <left/>
      <right style="thin">
        <color rgb="00CBD5E1"/>
      </right>
      <top style="thin">
        <color rgb="00CBD5E1"/>
      </top>
      <bottom style="thin">
        <color rgb="00CBD5E1"/>
      </bottom>
      <diagonal/>
    </border>
    <border>
      <left/>
      <right style="thin">
        <color rgb="00CBD5E1"/>
      </right>
      <top style="thin">
        <color rgb="00CBD5E1"/>
      </top>
      <bottom style="double">
        <color rgb="001E3A8A"/>
      </bottom>
      <diagonal/>
    </border>
    <border>
      <left/>
      <right/>
      <top style="thin">
        <color rgb="00CBD5E1"/>
      </top>
      <bottom style="double">
        <color rgb="001E3A8A"/>
      </bottom>
      <diagonal/>
    </border>
    <border>
      <left/>
      <right/>
      <top style="thin">
        <color rgb="00CBD5E1"/>
      </top>
      <bottom style="thin">
        <color rgb="00CBD5E1"/>
      </bottom>
      <diagonal/>
    </border>
    <border>
      <left style="medium">
        <color rgb="003B82F6"/>
      </left>
      <right style="thin">
        <color rgb="00CBD5E1"/>
      </right>
      <top style="medium">
        <color rgb="003B82F6"/>
      </top>
      <bottom style="thin">
        <color rgb="00CBD5E1"/>
      </bottom>
    </border>
    <border>
      <left style="thin">
        <color rgb="00CBD5E1"/>
      </left>
      <right style="medium">
        <color rgb="003B82F6"/>
      </right>
      <top style="medium">
        <color rgb="003B82F6"/>
      </top>
      <bottom style="thin">
        <color rgb="00CBD5E1"/>
      </bottom>
    </border>
    <border>
      <left style="medium">
        <color rgb="003B82F6"/>
      </left>
      <right style="thin">
        <color rgb="00CBD5E1"/>
      </right>
      <top style="thin">
        <color rgb="00CBD5E1"/>
      </top>
      <bottom style="thin">
        <color rgb="00CBD5E1"/>
      </bottom>
    </border>
    <border>
      <left style="thin">
        <color rgb="00CBD5E1"/>
      </left>
      <right style="medium">
        <color rgb="003B82F6"/>
      </right>
      <top style="thin">
        <color rgb="00CBD5E1"/>
      </top>
      <bottom style="thin">
        <color rgb="00CBD5E1"/>
      </bottom>
    </border>
    <border>
      <left style="medium">
        <color rgb="003B82F6"/>
      </left>
      <right style="thin">
        <color rgb="00CBD5E1"/>
      </right>
      <top style="thin">
        <color rgb="00CBD5E1"/>
      </top>
      <bottom style="medium">
        <color rgb="003B82F6"/>
      </bottom>
    </border>
    <border>
      <left style="thin">
        <color rgb="00CBD5E1"/>
      </left>
      <right style="medium">
        <color rgb="003B82F6"/>
      </right>
      <top style="thin">
        <color rgb="00CBD5E1"/>
      </top>
      <bottom style="medium">
        <color rgb="003B82F6"/>
      </bottom>
    </border>
    <border>
      <left/>
      <right style="thin">
        <color rgb="00CBD5E1"/>
      </right>
      <top style="thin">
        <color rgb="00CBD5E1"/>
      </top>
      <bottom style="medium">
        <color rgb="003B82F6"/>
      </bottom>
      <diagonal/>
    </border>
    <border>
      <left/>
      <right/>
      <top style="medium">
        <color rgb="003B82F6"/>
      </top>
      <bottom/>
      <diagonal/>
    </border>
    <border>
      <left/>
      <right style="thin">
        <color rgb="00CBD5E1"/>
      </right>
      <top style="medium">
        <color rgb="003B82F6"/>
      </top>
      <bottom/>
      <diagonal/>
    </border>
    <border>
      <left/>
      <right style="thin">
        <color rgb="00CBD5E1"/>
      </right>
      <top style="medium">
        <color rgb="003B82F6"/>
      </top>
      <bottom style="thin">
        <color rgb="00CBD5E1"/>
      </bottom>
      <diagonal/>
    </border>
    <border>
      <left style="thin">
        <color rgb="00CBD5E1"/>
      </left>
      <right style="thin">
        <color rgb="00CBD5E1"/>
      </right>
      <top style="medium">
        <color rgb="003B82F6"/>
      </top>
      <bottom style="thin">
        <color rgb="00CBD5E1"/>
      </bottom>
    </border>
    <border>
      <left style="thin">
        <color rgb="00CBD5E1"/>
      </left>
      <right style="thin">
        <color rgb="00CBD5E1"/>
      </right>
      <top style="thin">
        <color rgb="00CBD5E1"/>
      </top>
      <bottom style="medium">
        <color rgb="003B82F6"/>
      </bottom>
    </border>
    <border>
      <left/>
      <right/>
      <top style="medium">
        <color rgb="003B82F6"/>
      </top>
      <bottom style="thin">
        <color rgb="00CBD5E1"/>
      </bottom>
      <diagonal/>
    </border>
    <border>
      <left/>
      <right/>
      <top style="thin">
        <color rgb="00CBD5E1"/>
      </top>
      <bottom style="medium">
        <color rgb="003B82F6"/>
      </bottom>
      <diagonal/>
    </border>
    <border>
      <left style="thin">
        <color rgb="00CBD5E1"/>
      </left>
      <right/>
      <top/>
      <bottom/>
      <diagonal/>
    </border>
    <border>
      <left style="thin">
        <color rgb="00CBD5E1"/>
      </left>
      <right style="thin">
        <color rgb="00CBD5E1"/>
      </right>
      <top/>
      <bottom/>
      <diagonal/>
    </border>
    <border>
      <left style="thin">
        <color rgb="00CBD5E1"/>
      </left>
      <right style="thin">
        <color rgb="00CBD5E1"/>
      </right>
      <top/>
      <bottom style="thin">
        <color rgb="00CBD5E1"/>
      </bottom>
      <diagonal/>
    </border>
  </borders>
  <cellStyleXfs count="1">
    <xf numFmtId="0" fontId="0" fillId="0" borderId="0"/>
  </cellStyleXfs>
  <cellXfs count="207">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pivotButton="0" quotePrefix="0" xfId="0"/>
    <xf numFmtId="0" fontId="4" fillId="0" borderId="0" pivotButton="0" quotePrefix="0" xfId="0"/>
    <xf numFmtId="0" fontId="5" fillId="0" borderId="0" pivotButton="0" quotePrefix="0" xfId="0"/>
    <xf numFmtId="0" fontId="6" fillId="0" borderId="0" applyAlignment="1" pivotButton="0" quotePrefix="0" xfId="0">
      <alignment vertical="top" wrapText="1"/>
    </xf>
    <xf numFmtId="0" fontId="7" fillId="2" borderId="1" applyAlignment="1" pivotButton="0" quotePrefix="0" xfId="0">
      <alignment horizontal="center" vertical="center" wrapText="1"/>
    </xf>
    <xf numFmtId="0" fontId="3" fillId="0" borderId="2" applyAlignment="1" pivotButton="0" quotePrefix="0" xfId="0">
      <alignment horizontal="center"/>
    </xf>
    <xf numFmtId="0" fontId="4" fillId="0" borderId="2" applyAlignment="1" pivotButton="0" quotePrefix="0" xfId="0">
      <alignment horizontal="left"/>
    </xf>
    <xf numFmtId="0" fontId="4" fillId="0" borderId="2" applyAlignment="1" pivotButton="0" quotePrefix="0" xfId="0">
      <alignment horizontal="center"/>
    </xf>
    <xf numFmtId="164" fontId="4" fillId="0" borderId="2" applyAlignment="1" pivotButton="0" quotePrefix="0" xfId="0">
      <alignment horizontal="right"/>
    </xf>
    <xf numFmtId="165" fontId="4" fillId="0" borderId="2" applyAlignment="1" pivotButton="0" quotePrefix="0" xfId="0">
      <alignment horizontal="right"/>
    </xf>
    <xf numFmtId="0" fontId="4" fillId="0" borderId="2" applyAlignment="1" pivotButton="0" quotePrefix="0" xfId="0">
      <alignment horizontal="right"/>
    </xf>
    <xf numFmtId="0" fontId="0" fillId="0" borderId="3" pivotButton="0" quotePrefix="0" xfId="0"/>
    <xf numFmtId="0" fontId="3" fillId="0" borderId="3" pivotButton="0" quotePrefix="0" xfId="0"/>
    <xf numFmtId="0" fontId="3" fillId="0" borderId="3" applyAlignment="1" pivotButton="0" quotePrefix="0" xfId="0">
      <alignment horizontal="center"/>
    </xf>
    <xf numFmtId="164" fontId="3" fillId="0" borderId="3" pivotButton="0" quotePrefix="0" xfId="0"/>
    <xf numFmtId="164" fontId="8" fillId="4" borderId="3" pivotButton="0" quotePrefix="0" xfId="0"/>
    <xf numFmtId="164" fontId="3" fillId="0" borderId="0" pivotButton="0" quotePrefix="0" xfId="0"/>
    <xf numFmtId="164" fontId="8" fillId="4" borderId="0" pivotButton="0" quotePrefix="0" xfId="0"/>
    <xf numFmtId="0" fontId="9" fillId="5" borderId="0" applyAlignment="1" pivotButton="0" quotePrefix="0" xfId="0">
      <alignment vertical="top" wrapText="1"/>
    </xf>
    <xf numFmtId="0" fontId="7" fillId="6" borderId="1" applyAlignment="1" pivotButton="0" quotePrefix="0" xfId="0">
      <alignment horizontal="center" vertical="center" wrapText="1"/>
    </xf>
    <xf numFmtId="0" fontId="7" fillId="3" borderId="1" applyAlignment="1" pivotButton="0" quotePrefix="0" xfId="0">
      <alignment horizontal="center" vertical="center" wrapText="1"/>
    </xf>
    <xf numFmtId="0" fontId="6" fillId="0" borderId="2" applyAlignment="1" pivotButton="0" quotePrefix="0" xfId="0">
      <alignment horizontal="center" vertical="center"/>
    </xf>
    <xf numFmtId="0" fontId="7" fillId="7" borderId="2" applyAlignment="1" pivotButton="0" quotePrefix="0" xfId="0">
      <alignment horizontal="center" vertical="center"/>
    </xf>
    <xf numFmtId="0" fontId="7" fillId="3" borderId="1" applyAlignment="1" pivotButton="0" quotePrefix="0" xfId="0">
      <alignment horizontal="center" vertical="center"/>
    </xf>
    <xf numFmtId="0" fontId="7" fillId="6" borderId="1" applyAlignment="1" pivotButton="0" quotePrefix="0" xfId="0">
      <alignment horizontal="center" vertical="center"/>
    </xf>
    <xf numFmtId="0" fontId="3" fillId="0" borderId="2" applyAlignment="1" pivotButton="0" quotePrefix="0" xfId="0">
      <alignment horizontal="left"/>
    </xf>
    <xf numFmtId="3" fontId="4" fillId="0" borderId="2" applyAlignment="1" pivotButton="0" quotePrefix="0" xfId="0">
      <alignment horizontal="right"/>
    </xf>
    <xf numFmtId="0" fontId="7" fillId="8" borderId="2" applyAlignment="1" pivotButton="0" quotePrefix="0" xfId="0">
      <alignment horizontal="center" vertical="center"/>
    </xf>
    <xf numFmtId="0" fontId="6" fillId="0" borderId="2" applyAlignment="1" pivotButton="0" quotePrefix="0" xfId="0">
      <alignment horizontal="left" vertical="center"/>
    </xf>
    <xf numFmtId="0" fontId="7" fillId="2" borderId="1" applyAlignment="1" pivotButton="0" quotePrefix="0" xfId="0">
      <alignment horizontal="center" vertical="center"/>
    </xf>
    <xf numFmtId="0" fontId="3" fillId="0" borderId="2" applyAlignment="1" pivotButton="0" quotePrefix="0" xfId="0">
      <alignment horizontal="left" vertical="center"/>
    </xf>
    <xf numFmtId="0" fontId="4" fillId="0" borderId="2" applyAlignment="1" pivotButton="0" quotePrefix="0" xfId="0">
      <alignment horizontal="center" vertical="center"/>
    </xf>
    <xf numFmtId="0" fontId="3" fillId="0" borderId="2" applyAlignment="1" pivotButton="0" quotePrefix="0" xfId="0">
      <alignment horizontal="center" vertical="center"/>
    </xf>
    <xf numFmtId="0" fontId="4" fillId="0" borderId="2" applyAlignment="1" pivotButton="0" quotePrefix="0" xfId="0">
      <alignment horizontal="left" vertical="center" wrapText="1"/>
    </xf>
    <xf numFmtId="3" fontId="3" fillId="0" borderId="3" pivotButton="0" quotePrefix="0" xfId="0"/>
    <xf numFmtId="0" fontId="6" fillId="0" borderId="2" applyAlignment="1" pivotButton="0" quotePrefix="0" xfId="0">
      <alignment horizontal="left"/>
    </xf>
    <xf numFmtId="164" fontId="0" fillId="0" borderId="2" applyAlignment="1" pivotButton="0" quotePrefix="0" xfId="0">
      <alignment horizontal="right"/>
    </xf>
    <xf numFmtId="10" fontId="0" fillId="0" borderId="2" applyAlignment="1" pivotButton="0" quotePrefix="0" xfId="0">
      <alignment horizontal="right"/>
    </xf>
    <xf numFmtId="0" fontId="3" fillId="9" borderId="2" applyAlignment="1" pivotButton="0" quotePrefix="0" xfId="0">
      <alignment horizontal="left"/>
    </xf>
    <xf numFmtId="164" fontId="3" fillId="9" borderId="2" applyAlignment="1" pivotButton="0" quotePrefix="0" xfId="0">
      <alignment horizontal="right"/>
    </xf>
    <xf numFmtId="10" fontId="3" fillId="9" borderId="2" applyAlignment="1" pivotButton="0" quotePrefix="0" xfId="0">
      <alignment horizontal="right"/>
    </xf>
    <xf numFmtId="0" fontId="8" fillId="4" borderId="2" applyAlignment="1" pivotButton="0" quotePrefix="0" xfId="0">
      <alignment horizontal="left"/>
    </xf>
    <xf numFmtId="164" fontId="8" fillId="4" borderId="2" applyAlignment="1" pivotButton="0" quotePrefix="0" xfId="0">
      <alignment horizontal="right"/>
    </xf>
    <xf numFmtId="10" fontId="8" fillId="4" borderId="2" applyAlignment="1" pivotButton="0" quotePrefix="0" xfId="0">
      <alignment horizontal="right"/>
    </xf>
    <xf numFmtId="0" fontId="10" fillId="10" borderId="0" applyAlignment="1" pivotButton="0" quotePrefix="0" xfId="0">
      <alignment horizontal="left" vertical="center" indent="1"/>
    </xf>
    <xf numFmtId="0" fontId="11" fillId="11" borderId="4" pivotButton="0" quotePrefix="0" xfId="0"/>
    <xf numFmtId="0" fontId="0" fillId="0" borderId="7" pivotButton="0" quotePrefix="0" xfId="0"/>
    <xf numFmtId="0" fontId="0" fillId="0" borderId="8" pivotButton="0" quotePrefix="0" xfId="0"/>
    <xf numFmtId="0" fontId="12" fillId="12" borderId="4" applyAlignment="1" pivotButton="0" quotePrefix="0" xfId="0">
      <alignment vertical="center" wrapText="1"/>
    </xf>
    <xf numFmtId="0" fontId="13" fillId="12" borderId="4" applyAlignment="1" pivotButton="0" quotePrefix="0" xfId="0">
      <alignment vertical="center" wrapText="1"/>
    </xf>
    <xf numFmtId="0" fontId="14" fillId="13" borderId="0" applyAlignment="1" pivotButton="0" quotePrefix="0" xfId="0">
      <alignment horizontal="center" vertical="center"/>
    </xf>
    <xf numFmtId="0" fontId="7" fillId="14" borderId="0" applyAlignment="1" pivotButton="0" quotePrefix="0" xfId="0">
      <alignment horizontal="center" vertical="center"/>
    </xf>
    <xf numFmtId="0" fontId="15" fillId="0" borderId="0" pivotButton="0" quotePrefix="0" xfId="0"/>
    <xf numFmtId="0" fontId="16" fillId="0" borderId="0" pivotButton="0" quotePrefix="0" xfId="0"/>
    <xf numFmtId="0" fontId="10" fillId="15" borderId="0" applyAlignment="1" pivotButton="0" quotePrefix="0" xfId="0">
      <alignment horizontal="left" vertical="center" indent="1"/>
    </xf>
    <xf numFmtId="0" fontId="17" fillId="0" borderId="0" applyAlignment="1" pivotButton="0" quotePrefix="0" xfId="0">
      <alignment vertical="center" wrapText="1"/>
    </xf>
    <xf numFmtId="0" fontId="18" fillId="16" borderId="9" applyAlignment="1" pivotButton="0" quotePrefix="0" xfId="0">
      <alignment horizontal="center" vertical="center" wrapText="1"/>
    </xf>
    <xf numFmtId="0" fontId="15" fillId="0" borderId="9" applyAlignment="1" pivotButton="0" quotePrefix="0" xfId="0">
      <alignment horizontal="center" vertical="center"/>
    </xf>
    <xf numFmtId="0" fontId="16" fillId="0" borderId="9" pivotButton="0" quotePrefix="0" xfId="0"/>
    <xf numFmtId="0" fontId="16" fillId="0" borderId="9" applyAlignment="1" pivotButton="0" quotePrefix="0" xfId="0">
      <alignment horizontal="center" vertical="center"/>
    </xf>
    <xf numFmtId="164" fontId="16" fillId="0" borderId="9" applyAlignment="1" pivotButton="0" quotePrefix="0" xfId="0">
      <alignment horizontal="right" vertical="center"/>
    </xf>
    <xf numFmtId="165" fontId="16" fillId="0" borderId="9" applyAlignment="1" pivotButton="0" quotePrefix="0" xfId="0">
      <alignment horizontal="right" vertical="center"/>
    </xf>
    <xf numFmtId="0" fontId="16" fillId="0" borderId="9" applyAlignment="1" pivotButton="0" quotePrefix="0" xfId="0">
      <alignment horizontal="right" vertical="center"/>
    </xf>
    <xf numFmtId="0" fontId="15" fillId="16" borderId="9" pivotButton="0" quotePrefix="0" xfId="0"/>
    <xf numFmtId="0" fontId="15" fillId="16" borderId="9" applyAlignment="1" pivotButton="0" quotePrefix="0" xfId="0">
      <alignment horizontal="center"/>
    </xf>
    <xf numFmtId="164" fontId="15" fillId="16" borderId="9" pivotButton="0" quotePrefix="0" xfId="0"/>
    <xf numFmtId="0" fontId="15" fillId="17" borderId="10" pivotButton="0" quotePrefix="0" xfId="0"/>
    <xf numFmtId="0" fontId="15" fillId="17" borderId="10" applyAlignment="1" pivotButton="0" quotePrefix="0" xfId="0">
      <alignment horizontal="center"/>
    </xf>
    <xf numFmtId="164" fontId="15" fillId="17" borderId="10" pivotButton="0" quotePrefix="0" xfId="0"/>
    <xf numFmtId="0" fontId="16" fillId="0" borderId="9" applyAlignment="1" pivotButton="0" quotePrefix="0" xfId="0">
      <alignment horizontal="left" vertical="center"/>
    </xf>
    <xf numFmtId="166" fontId="16" fillId="0" borderId="9" applyAlignment="1" pivotButton="0" quotePrefix="0" xfId="0">
      <alignment horizontal="right" vertical="center"/>
    </xf>
    <xf numFmtId="0" fontId="15" fillId="16" borderId="10" pivotButton="0" quotePrefix="0" xfId="0"/>
    <xf numFmtId="0" fontId="15" fillId="16" borderId="10" applyAlignment="1" pivotButton="0" quotePrefix="0" xfId="0">
      <alignment horizontal="center"/>
    </xf>
    <xf numFmtId="166" fontId="15" fillId="16" borderId="10" pivotButton="0" quotePrefix="0" xfId="0"/>
    <xf numFmtId="0" fontId="15" fillId="16" borderId="10" applyAlignment="1" pivotButton="0" quotePrefix="0" xfId="0">
      <alignment horizontal="right"/>
    </xf>
    <xf numFmtId="164" fontId="15" fillId="16" borderId="10" pivotButton="0" quotePrefix="0" xfId="0"/>
    <xf numFmtId="0" fontId="19" fillId="11" borderId="4" applyAlignment="1" pivotButton="0" quotePrefix="0" xfId="0">
      <alignment vertical="center" wrapText="1"/>
    </xf>
    <xf numFmtId="0" fontId="0" fillId="0" borderId="4" pivotButton="0" quotePrefix="0" xfId="0"/>
    <xf numFmtId="0" fontId="16" fillId="0" borderId="0" applyAlignment="1" pivotButton="0" quotePrefix="0" xfId="0">
      <alignment vertical="center" wrapText="1"/>
    </xf>
    <xf numFmtId="0" fontId="15" fillId="16" borderId="9" applyAlignment="1" pivotButton="0" quotePrefix="0" xfId="0">
      <alignment horizontal="center" vertical="center"/>
    </xf>
    <xf numFmtId="0" fontId="15" fillId="16" borderId="9" applyAlignment="1" pivotButton="0" quotePrefix="0" xfId="0">
      <alignment horizontal="left" vertical="center"/>
    </xf>
    <xf numFmtId="0" fontId="16" fillId="16" borderId="9" applyAlignment="1" pivotButton="0" quotePrefix="0" xfId="0">
      <alignment horizontal="left" vertical="center"/>
    </xf>
    <xf numFmtId="164" fontId="15" fillId="16" borderId="9" applyAlignment="1" pivotButton="0" quotePrefix="0" xfId="0">
      <alignment horizontal="right" vertical="center"/>
    </xf>
    <xf numFmtId="167" fontId="15" fillId="16" borderId="9" applyAlignment="1" pivotButton="0" quotePrefix="0" xfId="0">
      <alignment horizontal="right" vertical="center"/>
    </xf>
    <xf numFmtId="167" fontId="16" fillId="0" borderId="9" applyAlignment="1" pivotButton="0" quotePrefix="0" xfId="0">
      <alignment horizontal="right" vertical="center"/>
    </xf>
    <xf numFmtId="0" fontId="15" fillId="17" borderId="10" applyAlignment="1" pivotButton="0" quotePrefix="0" xfId="0">
      <alignment horizontal="center" vertical="center"/>
    </xf>
    <xf numFmtId="0" fontId="15" fillId="17" borderId="10" applyAlignment="1" pivotButton="0" quotePrefix="0" xfId="0">
      <alignment horizontal="left" vertical="center"/>
    </xf>
    <xf numFmtId="0" fontId="16" fillId="17" borderId="10" applyAlignment="1" pivotButton="0" quotePrefix="0" xfId="0">
      <alignment horizontal="left" vertical="center"/>
    </xf>
    <xf numFmtId="164" fontId="15" fillId="17" borderId="10" applyAlignment="1" pivotButton="0" quotePrefix="0" xfId="0">
      <alignment horizontal="right" vertical="center"/>
    </xf>
    <xf numFmtId="167" fontId="15" fillId="17" borderId="10" applyAlignment="1" pivotButton="0" quotePrefix="0" xfId="0">
      <alignment horizontal="right" vertical="center"/>
    </xf>
    <xf numFmtId="0" fontId="20" fillId="0" borderId="0" applyAlignment="1" pivotButton="0" quotePrefix="0" xfId="0">
      <alignment vertical="center" wrapText="1"/>
    </xf>
    <xf numFmtId="0" fontId="0" fillId="0" borderId="16" pivotButton="0" quotePrefix="0" xfId="0"/>
    <xf numFmtId="0" fontId="0" fillId="0" borderId="13" pivotButton="0" quotePrefix="0" xfId="0"/>
    <xf numFmtId="0" fontId="0" fillId="0" borderId="15" pivotButton="0" quotePrefix="0" xfId="0"/>
    <xf numFmtId="0" fontId="0" fillId="0" borderId="14" pivotButton="0" quotePrefix="0" xfId="0"/>
    <xf numFmtId="0" fontId="16" fillId="0" borderId="9" applyAlignment="1" pivotButton="0" quotePrefix="0" xfId="0">
      <alignment horizontal="left" vertical="center" wrapText="1"/>
    </xf>
    <xf numFmtId="0" fontId="16" fillId="0" borderId="9" applyAlignment="1" pivotButton="0" quotePrefix="0" xfId="0">
      <alignment horizontal="center" vertical="center" wrapText="1"/>
    </xf>
    <xf numFmtId="0" fontId="15" fillId="16" borderId="9" applyAlignment="1" pivotButton="0" quotePrefix="0" xfId="0">
      <alignment horizontal="left" vertical="center" wrapText="1"/>
    </xf>
    <xf numFmtId="0" fontId="15" fillId="17" borderId="10" applyAlignment="1" pivotButton="0" quotePrefix="0" xfId="0">
      <alignment horizontal="left" vertical="center" wrapText="1"/>
    </xf>
    <xf numFmtId="0" fontId="15" fillId="16" borderId="10" applyAlignment="1" pivotButton="0" quotePrefix="0" xfId="0">
      <alignment horizontal="center" vertical="center"/>
    </xf>
    <xf numFmtId="0" fontId="15" fillId="16" borderId="10" applyAlignment="1" pivotButton="0" quotePrefix="0" xfId="0">
      <alignment horizontal="right" vertical="center"/>
    </xf>
    <xf numFmtId="0" fontId="21" fillId="18" borderId="17" applyAlignment="1" pivotButton="0" quotePrefix="0" xfId="0">
      <alignment horizontal="center" vertical="center"/>
    </xf>
    <xf numFmtId="0" fontId="0" fillId="18" borderId="18" pivotButton="0" quotePrefix="0" xfId="0"/>
    <xf numFmtId="0" fontId="21" fillId="19" borderId="17" applyAlignment="1" pivotButton="0" quotePrefix="0" xfId="0">
      <alignment horizontal="center" vertical="center"/>
    </xf>
    <xf numFmtId="0" fontId="0" fillId="19" borderId="18" pivotButton="0" quotePrefix="0" xfId="0"/>
    <xf numFmtId="0" fontId="22" fillId="18" borderId="19" applyAlignment="1" pivotButton="0" quotePrefix="0" xfId="0">
      <alignment horizontal="center" vertical="center"/>
    </xf>
    <xf numFmtId="0" fontId="0" fillId="18" borderId="20" pivotButton="0" quotePrefix="0" xfId="0"/>
    <xf numFmtId="0" fontId="22" fillId="19" borderId="19" applyAlignment="1" pivotButton="0" quotePrefix="0" xfId="0">
      <alignment horizontal="center" vertical="center"/>
    </xf>
    <xf numFmtId="0" fontId="0" fillId="19" borderId="20" pivotButton="0" quotePrefix="0" xfId="0"/>
    <xf numFmtId="0" fontId="23" fillId="18" borderId="21" applyAlignment="1" pivotButton="0" quotePrefix="0" xfId="0">
      <alignment horizontal="center" vertical="center"/>
    </xf>
    <xf numFmtId="0" fontId="0" fillId="18" borderId="22" pivotButton="0" quotePrefix="0" xfId="0"/>
    <xf numFmtId="0" fontId="23" fillId="19" borderId="21" applyAlignment="1" pivotButton="0" quotePrefix="0" xfId="0">
      <alignment horizontal="center" vertical="center"/>
    </xf>
    <xf numFmtId="0" fontId="0" fillId="19" borderId="22" pivotButton="0" quotePrefix="0" xfId="0"/>
    <xf numFmtId="0" fontId="0" fillId="19" borderId="27" pivotButton="0" quotePrefix="0" xfId="0"/>
    <xf numFmtId="0" fontId="0" fillId="19" borderId="9" pivotButton="0" quotePrefix="0" xfId="0"/>
    <xf numFmtId="0" fontId="0" fillId="19" borderId="28" pivotButton="0" quotePrefix="0" xfId="0"/>
    <xf numFmtId="0" fontId="0" fillId="16" borderId="9" pivotButton="0" quotePrefix="0" xfId="0"/>
    <xf numFmtId="0" fontId="0" fillId="0" borderId="9" pivotButton="0" quotePrefix="0" xfId="0"/>
    <xf numFmtId="0" fontId="15" fillId="0" borderId="9" applyAlignment="1" pivotButton="0" quotePrefix="0" xfId="0">
      <alignment horizontal="left" vertical="center" wrapText="1"/>
    </xf>
    <xf numFmtId="0" fontId="15" fillId="0" borderId="9" applyAlignment="1" pivotButton="0" quotePrefix="0" xfId="0">
      <alignment horizontal="center" vertical="center" wrapText="1"/>
    </xf>
    <xf numFmtId="166" fontId="15" fillId="17" borderId="10" pivotButton="0" quotePrefix="0" xfId="0"/>
    <xf numFmtId="0" fontId="15" fillId="17" borderId="10" applyAlignment="1" pivotButton="0" quotePrefix="0" xfId="0">
      <alignment horizontal="right" vertical="center"/>
    </xf>
    <xf numFmtId="3" fontId="16" fillId="0" borderId="9" applyAlignment="1" pivotButton="0" quotePrefix="0" xfId="0">
      <alignment horizontal="right" vertical="center"/>
    </xf>
    <xf numFmtId="168" fontId="16" fillId="0" borderId="9" applyAlignment="1" pivotButton="0" quotePrefix="0" xfId="0">
      <alignment horizontal="right" vertical="center"/>
    </xf>
    <xf numFmtId="169" fontId="15" fillId="17" borderId="10" pivotButton="0" quotePrefix="0" xfId="0"/>
    <xf numFmtId="170" fontId="15" fillId="17" borderId="10" pivotButton="0" quotePrefix="0" xfId="0"/>
    <xf numFmtId="0" fontId="15" fillId="0" borderId="9" pivotButton="0" quotePrefix="0" xfId="0"/>
    <xf numFmtId="0" fontId="20" fillId="20" borderId="0" applyAlignment="1" pivotButton="0" quotePrefix="0" xfId="0">
      <alignment vertical="center" wrapText="1"/>
    </xf>
    <xf numFmtId="0" fontId="15" fillId="18" borderId="10" applyAlignment="1" pivotButton="0" quotePrefix="0" xfId="0">
      <alignment horizontal="left" vertical="center"/>
    </xf>
    <xf numFmtId="164" fontId="15" fillId="18" borderId="10" applyAlignment="1" pivotButton="0" quotePrefix="0" xfId="0">
      <alignment horizontal="right" vertical="center"/>
    </xf>
    <xf numFmtId="167" fontId="15" fillId="18" borderId="10" applyAlignment="1" pivotButton="0" quotePrefix="0" xfId="0">
      <alignment horizontal="right" vertical="center"/>
    </xf>
    <xf numFmtId="0" fontId="16" fillId="18" borderId="10" applyAlignment="1" pivotButton="0" quotePrefix="0" xfId="0">
      <alignment horizontal="left" vertical="center"/>
    </xf>
    <xf numFmtId="0" fontId="15" fillId="0" borderId="9" applyAlignment="1" pivotButton="0" quotePrefix="0" xfId="0">
      <alignment horizontal="left" vertical="center"/>
    </xf>
    <xf numFmtId="0" fontId="20" fillId="0" borderId="9" applyAlignment="1" pivotButton="0" quotePrefix="0" xfId="0">
      <alignment horizontal="center" vertical="center"/>
    </xf>
    <xf numFmtId="0" fontId="20" fillId="0" borderId="9" applyAlignment="1" pivotButton="0" quotePrefix="0" xfId="0">
      <alignment horizontal="left" vertical="center"/>
    </xf>
    <xf numFmtId="0" fontId="0" fillId="0" borderId="26" pivotButton="0" quotePrefix="0" xfId="0"/>
    <xf numFmtId="0" fontId="0" fillId="0" borderId="29" pivotButton="0" quotePrefix="0" xfId="0"/>
    <xf numFmtId="0" fontId="0" fillId="0" borderId="23" pivotButton="0" quotePrefix="0" xfId="0"/>
    <xf numFmtId="0" fontId="0" fillId="0" borderId="30" pivotButton="0" quotePrefix="0" xfId="0"/>
    <xf numFmtId="0" fontId="0" fillId="0" borderId="32" pivotButton="0" quotePrefix="0" xfId="0"/>
    <xf numFmtId="0" fontId="0" fillId="0" borderId="33" pivotButton="0" quotePrefix="0" xfId="0"/>
    <xf numFmtId="0" fontId="14" fillId="13" borderId="0" applyAlignment="1" pivotButton="0" quotePrefix="0" xfId="0">
      <alignment horizontal="center" vertical="center"/>
    </xf>
    <xf numFmtId="0" fontId="7" fillId="14" borderId="0" applyAlignment="1" pivotButton="0" quotePrefix="0" xfId="0">
      <alignment horizontal="center" vertical="center"/>
    </xf>
    <xf numFmtId="0" fontId="15" fillId="0" borderId="9" applyAlignment="1" pivotButton="0" quotePrefix="0" xfId="0">
      <alignment horizontal="left" vertical="center" wrapText="1" indent="1"/>
    </xf>
    <xf numFmtId="0" fontId="21" fillId="19" borderId="17" applyAlignment="1" pivotButton="0" quotePrefix="0" xfId="0">
      <alignment horizontal="center" vertical="center" wrapText="1"/>
    </xf>
    <xf numFmtId="0" fontId="21" fillId="18" borderId="17" applyAlignment="1" pivotButton="0" quotePrefix="0" xfId="0">
      <alignment horizontal="center" vertical="center" wrapText="1"/>
    </xf>
    <xf numFmtId="0" fontId="22" fillId="19" borderId="19" applyAlignment="1" pivotButton="0" quotePrefix="0" xfId="0">
      <alignment horizontal="center" vertical="center" wrapText="1"/>
    </xf>
    <xf numFmtId="0" fontId="22" fillId="18" borderId="19" applyAlignment="1" pivotButton="0" quotePrefix="0" xfId="0">
      <alignment horizontal="center" vertical="center" wrapText="1"/>
    </xf>
    <xf numFmtId="0" fontId="23" fillId="19" borderId="21" applyAlignment="1" pivotButton="0" quotePrefix="0" xfId="0">
      <alignment horizontal="center" vertical="center" wrapText="1"/>
    </xf>
    <xf numFmtId="0" fontId="23" fillId="18" borderId="21" applyAlignment="1" pivotButton="0" quotePrefix="0" xfId="0">
      <alignment horizontal="center" vertical="center" wrapText="1"/>
    </xf>
    <xf numFmtId="0" fontId="16" fillId="0" borderId="9" applyAlignment="1" pivotButton="0" quotePrefix="0" xfId="0">
      <alignment horizontal="left" vertical="center" wrapText="1" indent="1"/>
    </xf>
    <xf numFmtId="164" fontId="16" fillId="0" borderId="9" applyAlignment="1" pivotButton="0" quotePrefix="0" xfId="0">
      <alignment horizontal="right" vertical="center" wrapText="1"/>
    </xf>
    <xf numFmtId="167" fontId="16" fillId="0" borderId="9" applyAlignment="1" pivotButton="0" quotePrefix="0" xfId="0">
      <alignment horizontal="right" vertical="center" wrapText="1"/>
    </xf>
    <xf numFmtId="0" fontId="15" fillId="16" borderId="9" applyAlignment="1" pivotButton="0" quotePrefix="0" xfId="0">
      <alignment horizontal="left" vertical="center" wrapText="1" indent="1"/>
    </xf>
    <xf numFmtId="164" fontId="15" fillId="16" borderId="9" applyAlignment="1" pivotButton="0" quotePrefix="0" xfId="0">
      <alignment horizontal="right" vertical="center" wrapText="1"/>
    </xf>
    <xf numFmtId="167" fontId="15" fillId="16" borderId="9" applyAlignment="1" pivotButton="0" quotePrefix="0" xfId="0">
      <alignment horizontal="right" vertical="center" wrapText="1"/>
    </xf>
    <xf numFmtId="0" fontId="16" fillId="16" borderId="9" applyAlignment="1" pivotButton="0" quotePrefix="0" xfId="0">
      <alignment horizontal="left" vertical="center" wrapText="1"/>
    </xf>
    <xf numFmtId="0" fontId="15" fillId="18" borderId="10" applyAlignment="1" pivotButton="0" quotePrefix="0" xfId="0">
      <alignment horizontal="left" vertical="center" wrapText="1" indent="1"/>
    </xf>
    <xf numFmtId="0" fontId="15" fillId="18" borderId="10" applyAlignment="1" pivotButton="0" quotePrefix="0" xfId="0">
      <alignment horizontal="left" vertical="center" wrapText="1"/>
    </xf>
    <xf numFmtId="164" fontId="15" fillId="18" borderId="10" applyAlignment="1" pivotButton="0" quotePrefix="0" xfId="0">
      <alignment horizontal="right" vertical="center" wrapText="1"/>
    </xf>
    <xf numFmtId="167" fontId="15" fillId="18" borderId="10" applyAlignment="1" pivotButton="0" quotePrefix="0" xfId="0">
      <alignment horizontal="right" vertical="center" wrapText="1"/>
    </xf>
    <xf numFmtId="0" fontId="16" fillId="18" borderId="10" applyAlignment="1" pivotButton="0" quotePrefix="0" xfId="0">
      <alignment horizontal="left" vertical="center" wrapText="1"/>
    </xf>
    <xf numFmtId="0" fontId="19" fillId="11" borderId="4" applyAlignment="1" pivotButton="0" quotePrefix="0" xfId="0">
      <alignment vertical="center" wrapText="1" indent="1"/>
    </xf>
    <xf numFmtId="0" fontId="20" fillId="0" borderId="9" applyAlignment="1" pivotButton="0" quotePrefix="0" xfId="0">
      <alignment horizontal="center" vertical="center" wrapText="1"/>
    </xf>
    <xf numFmtId="0" fontId="20" fillId="0" borderId="9" applyAlignment="1" pivotButton="0" quotePrefix="0" xfId="0">
      <alignment horizontal="left" vertical="center" wrapText="1"/>
    </xf>
    <xf numFmtId="0" fontId="20" fillId="20" borderId="0" applyAlignment="1" pivotButton="0" quotePrefix="0" xfId="0">
      <alignment vertical="center" wrapText="1" indent="1"/>
    </xf>
    <xf numFmtId="0" fontId="14" fillId="13" borderId="0" applyAlignment="1" pivotButton="0" quotePrefix="0" xfId="0">
      <alignment horizontal="center" vertical="center"/>
    </xf>
    <xf numFmtId="0" fontId="7" fillId="14" borderId="0" applyAlignment="1" pivotButton="0" quotePrefix="0" xfId="0">
      <alignment horizontal="center" vertical="center"/>
    </xf>
    <xf numFmtId="0" fontId="14" fillId="13" borderId="0" applyAlignment="1" pivotButton="0" quotePrefix="0" xfId="0">
      <alignment horizontal="center" vertical="center"/>
    </xf>
    <xf numFmtId="0" fontId="7" fillId="14" borderId="0" applyAlignment="1" pivotButton="0" quotePrefix="0" xfId="0">
      <alignment horizontal="center" vertical="center"/>
    </xf>
    <xf numFmtId="0" fontId="10" fillId="15" borderId="0" applyAlignment="1" pivotButton="0" quotePrefix="0" xfId="0">
      <alignment horizontal="left" vertical="center" wrapText="1" indent="1"/>
    </xf>
    <xf numFmtId="0" fontId="14" fillId="13" borderId="0" applyAlignment="1" pivotButton="0" quotePrefix="0" xfId="0">
      <alignment horizontal="center" vertical="center"/>
    </xf>
    <xf numFmtId="0" fontId="7" fillId="14" borderId="0" applyAlignment="1" pivotButton="0" quotePrefix="0" xfId="0">
      <alignment horizontal="center" vertical="center"/>
    </xf>
    <xf numFmtId="0" fontId="14" fillId="13" borderId="0" applyAlignment="1" pivotButton="0" quotePrefix="0" xfId="0">
      <alignment horizontal="center" vertical="center"/>
    </xf>
    <xf numFmtId="0" fontId="7" fillId="14" borderId="0" applyAlignment="1" pivotButton="0" quotePrefix="0" xfId="0">
      <alignment horizontal="center" vertical="center"/>
    </xf>
    <xf numFmtId="0" fontId="14" fillId="13" borderId="0" applyAlignment="1" pivotButton="0" quotePrefix="0" xfId="0">
      <alignment horizontal="center" vertical="center"/>
    </xf>
    <xf numFmtId="0" fontId="7" fillId="14" borderId="0" applyAlignment="1" pivotButton="0" quotePrefix="0" xfId="0">
      <alignment horizontal="center" vertical="center"/>
    </xf>
    <xf numFmtId="0" fontId="14" fillId="13" borderId="0" applyAlignment="1" pivotButton="0" quotePrefix="0" xfId="0">
      <alignment horizontal="center" vertical="center"/>
    </xf>
    <xf numFmtId="0" fontId="7" fillId="14" borderId="0" applyAlignment="1" pivotButton="0" quotePrefix="0" xfId="0">
      <alignment horizontal="center" vertical="center"/>
    </xf>
    <xf numFmtId="0" fontId="14" fillId="13" borderId="0" applyAlignment="1" pivotButton="0" quotePrefix="0" xfId="0">
      <alignment horizontal="center" vertical="center"/>
    </xf>
    <xf numFmtId="0" fontId="7" fillId="14" borderId="0" applyAlignment="1" pivotButton="0" quotePrefix="0" xfId="0">
      <alignment horizontal="center" vertical="center"/>
    </xf>
    <xf numFmtId="0" fontId="14" fillId="13" borderId="0" applyAlignment="1" pivotButton="0" quotePrefix="0" xfId="0">
      <alignment horizontal="center" vertical="center"/>
    </xf>
    <xf numFmtId="0" fontId="7" fillId="14" borderId="0" applyAlignment="1" pivotButton="0" quotePrefix="0" xfId="0">
      <alignment horizontal="center" vertical="center"/>
    </xf>
    <xf numFmtId="0" fontId="14" fillId="13" borderId="0" applyAlignment="1" pivotButton="0" quotePrefix="0" xfId="0">
      <alignment horizontal="center" vertical="center"/>
    </xf>
    <xf numFmtId="0" fontId="7" fillId="14" borderId="0" applyAlignment="1" pivotButton="0" quotePrefix="0" xfId="0">
      <alignment horizontal="center" vertical="center"/>
    </xf>
    <xf numFmtId="0" fontId="14" fillId="13" borderId="0" applyAlignment="1" pivotButton="0" quotePrefix="0" xfId="0">
      <alignment horizontal="center" vertical="center"/>
    </xf>
    <xf numFmtId="0" fontId="7" fillId="14" borderId="0" applyAlignment="1" pivotButton="0" quotePrefix="0" xfId="0">
      <alignment horizontal="center" vertical="center"/>
    </xf>
    <xf numFmtId="0" fontId="19" fillId="11" borderId="4" applyAlignment="1" pivotButton="0" quotePrefix="0" xfId="0">
      <alignment horizontal="center" vertical="center" wrapText="1"/>
    </xf>
    <xf numFmtId="0" fontId="24" fillId="21" borderId="9" applyAlignment="1" pivotButton="0" quotePrefix="0" xfId="0">
      <alignment horizontal="left" vertical="center" wrapText="1" indent="1"/>
    </xf>
    <xf numFmtId="0" fontId="24" fillId="21" borderId="9" applyAlignment="1" pivotButton="0" quotePrefix="0" xfId="0">
      <alignment horizontal="left" vertical="center" wrapText="1"/>
    </xf>
    <xf numFmtId="164" fontId="24" fillId="21" borderId="9" applyAlignment="1" pivotButton="0" quotePrefix="0" xfId="0">
      <alignment horizontal="right" vertical="center" wrapText="1"/>
    </xf>
    <xf numFmtId="167" fontId="24" fillId="21" borderId="9" applyAlignment="1" pivotButton="0" quotePrefix="0" xfId="0">
      <alignment horizontal="right" vertical="center" wrapText="1"/>
    </xf>
    <xf numFmtId="164" fontId="15" fillId="21" borderId="9" applyAlignment="1" pivotButton="0" quotePrefix="0" xfId="0">
      <alignment horizontal="right" vertical="center" wrapText="1"/>
    </xf>
    <xf numFmtId="164" fontId="15" fillId="0" borderId="9" applyAlignment="1" pivotButton="0" quotePrefix="0" xfId="0">
      <alignment horizontal="right" vertical="center" wrapText="1"/>
    </xf>
    <xf numFmtId="0" fontId="25" fillId="22" borderId="9" applyAlignment="1" pivotButton="0" quotePrefix="0" xfId="0">
      <alignment horizontal="left" vertical="center" wrapText="1" indent="1"/>
    </xf>
    <xf numFmtId="0" fontId="25" fillId="22" borderId="9" applyAlignment="1" pivotButton="0" quotePrefix="0" xfId="0">
      <alignment horizontal="left" vertical="center" wrapText="1"/>
    </xf>
    <xf numFmtId="164" fontId="25" fillId="22" borderId="9" applyAlignment="1" pivotButton="0" quotePrefix="0" xfId="0">
      <alignment horizontal="right" vertical="center" wrapText="1"/>
    </xf>
    <xf numFmtId="167" fontId="25" fillId="22" borderId="9" applyAlignment="1" pivotButton="0" quotePrefix="0" xfId="0">
      <alignment horizontal="right" vertical="center" wrapText="1"/>
    </xf>
    <xf numFmtId="0" fontId="14" fillId="13" borderId="0" applyAlignment="1" pivotButton="0" quotePrefix="0" xfId="0">
      <alignment horizontal="center" vertical="center" wrapText="1"/>
    </xf>
    <xf numFmtId="0" fontId="7" fillId="14" borderId="0" applyAlignment="1" pivotButton="0" quotePrefix="0" xfId="0">
      <alignment horizontal="center" vertical="center" wrapText="1"/>
    </xf>
    <xf numFmtId="0" fontId="14" fillId="13" borderId="0" applyAlignment="1" pivotButton="0" quotePrefix="0" xfId="0">
      <alignment horizontal="center" vertical="center"/>
    </xf>
    <xf numFmtId="0" fontId="7" fillId="14" borderId="0" applyAlignment="1" pivotButton="0" quotePrefix="0" xfId="0">
      <alignment horizontal="center" vertical="center"/>
    </xf>
    <xf numFmtId="0" fontId="14" fillId="13" borderId="0" applyAlignment="1" pivotButton="0" quotePrefix="0" xfId="0">
      <alignment horizontal="center" vertical="center"/>
    </xf>
    <xf numFmtId="0" fontId="7" fillId="14"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62"/>
  <sheetViews>
    <sheetView showGridLines="1" workbookViewId="0">
      <selection activeCell="A1" sqref="A1"/>
    </sheetView>
  </sheetViews>
  <sheetFormatPr baseColWidth="8" defaultRowHeight="15"/>
  <cols>
    <col width="26" customWidth="1" min="1" max="1"/>
    <col width="24" customWidth="1" min="2" max="2"/>
    <col width="36" customWidth="1" min="3" max="3"/>
    <col width="18" customWidth="1" min="4" max="4"/>
    <col width="20" customWidth="1" min="5" max="5"/>
    <col width="22" customWidth="1" min="6" max="6"/>
    <col width="18" customWidth="1" min="7" max="7"/>
    <col width="48" customWidth="1" min="8" max="8"/>
  </cols>
  <sheetData>
    <row r="1" ht="30" customHeight="1">
      <c r="A1" s="201" t="inlineStr">
        <is>
          <t>HWB CLEANING SERVICES LLC &amp; BOSANNA LLC — EXECUTIVE OPERATIONAL BRIEF</t>
        </is>
      </c>
    </row>
    <row r="2" ht="24" customHeight="1">
      <c r="A2" s="202" t="inlineStr">
        <is>
          <t>COLLIN COLLEGE FRISCO CAMPUS (10 BUILDINGS / 478,418 SQ. FT.) — $1.50M DISTRICT CAP TURNKEY HYBRID MODEL</t>
        </is>
      </c>
    </row>
    <row r="3" ht="12" customHeight="1"/>
    <row r="4" ht="22" customHeight="1">
      <c r="A4" s="146" t="inlineStr">
        <is>
          <t>Client / Prime Contractor:</t>
        </is>
      </c>
      <c r="B4" s="98" t="inlineStr">
        <is>
          <t>Bosanna LLC (Attn: Angelica Hudgins)</t>
        </is>
      </c>
      <c r="C4" s="94" t="n"/>
      <c r="D4" s="95" t="n"/>
      <c r="E4" s="146" t="inlineStr">
        <is>
          <t>School / Project Name:</t>
        </is>
      </c>
      <c r="F4" s="98" t="inlineStr">
        <is>
          <t>Collin College Frisco Campus Custodial Replacement</t>
        </is>
      </c>
      <c r="G4" s="94" t="n"/>
      <c r="H4" s="95" t="n"/>
    </row>
    <row r="5" ht="22" customHeight="1">
      <c r="A5" s="146" t="inlineStr">
        <is>
          <t>Approved Purchasing Program:</t>
        </is>
      </c>
      <c r="B5" s="98" t="inlineStr">
        <is>
          <t>Texas TIPS Purchasing Cooperative (#260102 / #260103)</t>
        </is>
      </c>
      <c r="C5" s="94" t="n"/>
      <c r="D5" s="95" t="n"/>
      <c r="E5" s="146" t="inlineStr">
        <is>
          <t>Target Contract Length:</t>
        </is>
      </c>
      <c r="F5" s="98" t="inlineStr">
        <is>
          <t>3-Year Base Contract + 2 One-Year Extensions</t>
        </is>
      </c>
      <c r="G5" s="94" t="n"/>
      <c r="H5" s="95" t="n"/>
    </row>
    <row r="6" ht="22" customHeight="1">
      <c r="A6" s="146" t="inlineStr">
        <is>
          <t>Operating Delivery Model:</t>
        </is>
      </c>
      <c r="B6" s="98" t="inlineStr">
        <is>
          <t>Turnkey Hybrid Model (Bosanna: Labor/Supplies | HWB: Fleet/Ops)</t>
        </is>
      </c>
      <c r="C6" s="94" t="n"/>
      <c r="D6" s="95" t="n"/>
      <c r="E6" s="146" t="inlineStr">
        <is>
          <t>Statutory W-2 Compliance:</t>
        </is>
      </c>
      <c r="F6" s="98" t="inlineStr">
        <is>
          <t>District T&amp;C § 153 &amp; § 243 (100% Statutory W-2 Mandate)</t>
        </is>
      </c>
      <c r="G6" s="94" t="n"/>
      <c r="H6" s="95" t="n"/>
    </row>
    <row r="7" ht="22" customHeight="1">
      <c r="A7" s="146" t="inlineStr">
        <is>
          <t>Total Campus Cleanable Area:</t>
        </is>
      </c>
      <c r="B7" s="98" t="inlineStr">
        <is>
          <t>478,418 Cleanable Sq. Ft. (10 Buildings + Garages)</t>
        </is>
      </c>
      <c r="C7" s="94" t="n"/>
      <c r="D7" s="95" t="n"/>
      <c r="E7" s="146" t="inlineStr">
        <is>
          <t>Weekly Labor Hours:</t>
        </is>
      </c>
      <c r="F7" s="98" t="inlineStr">
        <is>
          <t>904.0 Hours / Week (22.6 FTEs per District SOW § 134–136)</t>
        </is>
      </c>
      <c r="G7" s="94" t="n"/>
      <c r="H7" s="95" t="n"/>
    </row>
    <row r="8" ht="12" customHeight="1"/>
    <row r="9" ht="20" customHeight="1">
      <c r="A9" s="147" t="inlineStr">
        <is>
          <t>COLLIN COLLEGE TIPS PO (CAP)</t>
        </is>
      </c>
      <c r="B9" s="138" t="n"/>
      <c r="C9" s="148" t="inlineStr">
        <is>
          <t>BOSANNA PRIME PROFIT</t>
        </is>
      </c>
      <c r="D9" s="138" t="n"/>
      <c r="E9" s="148" t="inlineStr">
        <is>
          <t>HWB ONLY PROFIT (NET EBITDA)</t>
        </is>
      </c>
      <c r="F9" s="138" t="n"/>
      <c r="G9" s="147" t="inlineStr">
        <is>
          <t>HWB MANAGEMENT &amp; FLEET FEE</t>
        </is>
      </c>
      <c r="H9" s="138" t="n"/>
    </row>
    <row r="10" ht="32" customHeight="1">
      <c r="A10" s="149" t="inlineStr">
        <is>
          <t>$125,000.00 / Mo</t>
        </is>
      </c>
      <c r="B10" s="95" t="n"/>
      <c r="C10" s="150" t="inlineStr">
        <is>
          <t>$15,550.10 / Mo</t>
        </is>
      </c>
      <c r="D10" s="95" t="n"/>
      <c r="E10" s="150" t="inlineStr">
        <is>
          <t>$15,550.10 / Mo</t>
        </is>
      </c>
      <c r="F10" s="95" t="n"/>
      <c r="G10" s="149" t="inlineStr">
        <is>
          <t>$22,500.10 / Mo</t>
        </is>
      </c>
      <c r="H10" s="95" t="n"/>
    </row>
    <row r="11" ht="24" customHeight="1">
      <c r="A11" s="151" t="inlineStr">
        <is>
          <t>$1,500,000.00 / Yr ($3.135 / Cleanable SF / Yr)</t>
        </is>
      </c>
      <c r="B11" s="140" t="n"/>
      <c r="C11" s="152" t="inlineStr">
        <is>
          <t>$186,601.20 / Yr (50.0% Distributable Net Profit)</t>
        </is>
      </c>
      <c r="D11" s="140" t="n"/>
      <c r="E11" s="152" t="inlineStr">
        <is>
          <t>$186,601.20 / Yr (50.0% Distributable Net Profit)</t>
        </is>
      </c>
      <c r="F11" s="140" t="n"/>
      <c r="G11" s="151" t="inlineStr">
        <is>
          <t>$6,950 Fleet Hard Cost + $15,550 Net Profit</t>
        </is>
      </c>
      <c r="H11" s="140" t="n"/>
    </row>
    <row r="12" ht="26" customHeight="1">
      <c r="A12" s="190" t="inlineStr">
        <is>
          <t>⚖️ 50/50 PROFIT EQUALITY AUDIT: Bosanna Prime Profit ($15,550.10/mo) = HWB Net Profit ($15,550.10/mo) | Bosanna Delivered Cost: $109,449.90/mo | District TIPS PO: $125,000.00/mo ($1.50M Cap)</t>
        </is>
      </c>
      <c r="B12" s="50" t="n"/>
      <c r="C12" s="50" t="n"/>
      <c r="D12" s="50" t="n"/>
      <c r="E12" s="50" t="n"/>
      <c r="F12" s="50" t="n"/>
      <c r="G12" s="50" t="n"/>
      <c r="H12" s="49" t="n"/>
    </row>
    <row r="13" ht="12" customHeight="1"/>
    <row r="14" ht="28" customHeight="1">
      <c r="A14" s="173" t="inlineStr">
        <is>
          <t>1.0 FINANCIAL ARCHITECTURE &amp; COST ALLOCATION (CALIBRATED TO $1.50M DISTRICT CAP)</t>
        </is>
      </c>
    </row>
    <row r="15" ht="46" customHeight="1">
      <c r="A15" s="130" t="inlineStr">
        <is>
          <t>Calibrated to Collin College's $1,500,000.00 annual budget ceiling ($125,000.00/month), this Turnkey Hybrid Model divides duties cleanly: Bosanna pays direct W-2 wages via staffing agency, wholesale supplies, and TIPS fee. HWB furnishes complete on-site supervision, an $80k+ commercial machinery fleet, chemical dilution proportioners, and APPA Level 2 QA. HWB and Bosanna split all distributable net profit equally (50/50), delivering $186,601.20/yr to each partner.</t>
        </is>
      </c>
    </row>
    <row r="16" ht="28" customHeight="1">
      <c r="A16" s="59" t="inlineStr">
        <is>
          <t>Budget Line Item</t>
        </is>
      </c>
      <c r="B16" s="59" t="inlineStr">
        <is>
          <t>Paying Entity &amp; Vendor</t>
        </is>
      </c>
      <c r="C16" s="59" t="inlineStr">
        <is>
          <t>Scope Basis &amp; Description</t>
        </is>
      </c>
      <c r="D16" s="59" t="inlineStr">
        <is>
          <t>Billing Schedule</t>
        </is>
      </c>
      <c r="E16" s="59" t="inlineStr">
        <is>
          <t>Monthly Amount ($)</t>
        </is>
      </c>
      <c r="F16" s="59" t="inlineStr">
        <is>
          <t>Annual Commitment ($)</t>
        </is>
      </c>
      <c r="G16" s="59" t="inlineStr">
        <is>
          <t>% of Total</t>
        </is>
      </c>
      <c r="H16" s="59" t="inlineStr">
        <is>
          <t>Operational Governance &amp; Protection</t>
        </is>
      </c>
    </row>
    <row r="17" ht="42" customHeight="1">
      <c r="A17" s="153" t="inlineStr">
        <is>
          <t>1. Direct W-2 Cleaning Labor</t>
        </is>
      </c>
      <c r="B17" s="153" t="inlineStr">
        <is>
          <t>Bosanna LLC (via Staffing Agency)</t>
        </is>
      </c>
      <c r="C17" s="98" t="inlineStr">
        <is>
          <t>904.0 weekly hours (22.6 FTEs): $16.00/hr Cleaners, $22.00/hr Supervisors (SOW § 134–136)</t>
        </is>
      </c>
      <c r="D17" s="98" t="inlineStr">
        <is>
          <t>Monthly / Weekly Payroll</t>
        </is>
      </c>
      <c r="E17" s="154" t="n">
        <v>78124.8</v>
      </c>
      <c r="F17" s="154" t="n">
        <v>937497.6</v>
      </c>
      <c r="G17" s="155">
        <f>E17/$E$25</f>
        <v/>
      </c>
      <c r="H17" s="98" t="inlineStr">
        <is>
          <t>100% compliant with District T&amp;C § 153/243; covers all statutory taxes &amp; workers' comp.</t>
        </is>
      </c>
    </row>
    <row r="18" ht="40" customHeight="1">
      <c r="A18" s="153" t="inlineStr">
        <is>
          <t>2. Restroom Paper &amp; Soap Supplies</t>
        </is>
      </c>
      <c r="B18" s="153" t="inlineStr">
        <is>
          <t>Bosanna LLC (Pollock / Imperial Dade)</t>
        </is>
      </c>
      <c r="C18" s="98" t="inlineStr">
        <is>
          <t>300+ cases/mo: Jumbo roll paper towels, 2-ply bath tissue, soap, liners, dispenser batteries</t>
        </is>
      </c>
      <c r="D18" s="98" t="inlineStr">
        <is>
          <t>Monthly Wholesale Invoice</t>
        </is>
      </c>
      <c r="E18" s="154" t="n">
        <v>7575</v>
      </c>
      <c r="F18" s="154" t="n">
        <v>90900</v>
      </c>
      <c r="G18" s="155">
        <f>E18/$E$25</f>
        <v/>
      </c>
      <c r="H18" s="98" t="inlineStr">
        <is>
          <t>Direct manufacturer wholesale trade pricing; zero intermediate markups to Bosanna.</t>
        </is>
      </c>
    </row>
    <row r="19" ht="38" customHeight="1">
      <c r="A19" s="153" t="inlineStr">
        <is>
          <t>3. TIPS Cooperative Admin Fee (1.0%)</t>
        </is>
      </c>
      <c r="B19" s="153" t="inlineStr">
        <is>
          <t>Bosanna LLC (to Region 8 ESC / TIPS)</t>
        </is>
      </c>
      <c r="C19" s="98" t="inlineStr">
        <is>
          <t>Statutory 1.0% administrative fee assessed by TIPS Cooperative on gross District billing</t>
        </is>
      </c>
      <c r="D19" s="98" t="inlineStr">
        <is>
          <t>Monthly TIPS Remittance</t>
        </is>
      </c>
      <c r="E19" s="154" t="n">
        <v>1250</v>
      </c>
      <c r="F19" s="154" t="n">
        <v>15000</v>
      </c>
      <c r="G19" s="155">
        <f>E19/$E$25</f>
        <v/>
      </c>
      <c r="H19" s="98" t="inlineStr">
        <is>
          <t>Standard interlocal purchasing agreement compliance under TIPS Contracts #260102 / #260103.</t>
        </is>
      </c>
    </row>
    <row r="20" ht="42" customHeight="1">
      <c r="A20" s="153" t="inlineStr">
        <is>
          <t>4. HWB Turnkey Management Fee</t>
        </is>
      </c>
      <c r="B20" s="153" t="inlineStr">
        <is>
          <t>Bosanna LLC (to HWB Cleaning)</t>
        </is>
      </c>
      <c r="C20" s="98" t="inlineStr">
        <is>
          <t>Commercial fleet lease, maintenance, chemical systems, biometric hardware, on-site leadership</t>
        </is>
      </c>
      <c r="D20" s="98" t="inlineStr">
        <is>
          <t>Fixed Monthly Billing</t>
        </is>
      </c>
      <c r="E20" s="154" t="n">
        <v>22500.1</v>
      </c>
      <c r="F20" s="154" t="n">
        <v>270001.2</v>
      </c>
      <c r="G20" s="155">
        <f>E20/$E$25</f>
        <v/>
      </c>
      <c r="H20" s="98" t="inlineStr">
        <is>
          <t>Full equipment fleet, daily scheduling, 20-min penalty shield, and APPA Level 2 QA.</t>
        </is>
      </c>
    </row>
    <row r="21" ht="38" customHeight="1">
      <c r="A21" s="191" t="inlineStr">
        <is>
          <t xml:space="preserve">  ↳ 4a. HWB Machinery Fleet &amp; Ops Hard Costs</t>
        </is>
      </c>
      <c r="B21" s="191" t="inlineStr">
        <is>
          <t>HWB Cleaning Internal Allocation</t>
        </is>
      </c>
      <c r="C21" s="192" t="inlineStr">
        <is>
          <t>Commercial machinery fleet lease ($80k+), repairs, chemical proportioners, biometric clock, insurance</t>
        </is>
      </c>
      <c r="D21" s="192" t="inlineStr">
        <is>
          <t>Internal Operational Cost</t>
        </is>
      </c>
      <c r="E21" s="193" t="n">
        <v>6950</v>
      </c>
      <c r="F21" s="193" t="n">
        <v>83400</v>
      </c>
      <c r="G21" s="194">
        <f>E21/$E$25</f>
        <v/>
      </c>
      <c r="H21" s="192" t="inlineStr">
        <is>
          <t>HWB absorbs 100% of equipment breakdown costs, parts replacement, and repair float at 0 debt to Bosanna.</t>
        </is>
      </c>
    </row>
    <row r="22" ht="38" customHeight="1">
      <c r="A22" s="191" t="inlineStr">
        <is>
          <t xml:space="preserve">  ↳ 4b. HWB Pure Net Operating Profit (Net EBITDA)</t>
        </is>
      </c>
      <c r="B22" s="191" t="inlineStr">
        <is>
          <t>Retained by HWB Cleaning</t>
        </is>
      </c>
      <c r="C22" s="192" t="inlineStr">
        <is>
          <t>Pure net subcontractor operating margin after deducting all machinery, chemical, and operational costs</t>
        </is>
      </c>
      <c r="D22" s="192" t="inlineStr">
        <is>
          <t>Retained Monthly</t>
        </is>
      </c>
      <c r="E22" s="195" t="n">
        <v>15550.1</v>
      </c>
      <c r="F22" s="195" t="n">
        <v>186601.2</v>
      </c>
      <c r="G22" s="194">
        <f>E22/$E$25</f>
        <v/>
      </c>
      <c r="H22" s="192" t="inlineStr">
        <is>
          <t>100% equal side-by-side with Bosanna Prime Profit (True 50/50 partnership net margin).</t>
        </is>
      </c>
    </row>
    <row r="23" ht="36" customHeight="1">
      <c r="A23" s="156" t="inlineStr">
        <is>
          <t>BOSANNA TOTAL DELIVERED COST</t>
        </is>
      </c>
      <c r="B23" s="156" t="inlineStr">
        <is>
          <t>Bosanna LLC Combined Out-of-Pocket</t>
        </is>
      </c>
      <c r="C23" s="100" t="inlineStr">
        <is>
          <t>Total direct operating cost required to fully execute the Collin College contract (Lines 1 + 2 + 3 + 4)</t>
        </is>
      </c>
      <c r="D23" s="100" t="inlineStr">
        <is>
          <t>Combined Monthly Basis</t>
        </is>
      </c>
      <c r="E23" s="157">
        <f>E17+E18+E19+E20</f>
        <v/>
      </c>
      <c r="F23" s="157">
        <f>F17+F18+F19+F20</f>
        <v/>
      </c>
      <c r="G23" s="158">
        <f>E23/$E$25</f>
        <v/>
      </c>
      <c r="H23" s="159" t="inlineStr">
        <is>
          <t>Total operational baseline to deliver 10 buildings (87.6% of District billing).</t>
        </is>
      </c>
    </row>
    <row r="24" ht="38" customHeight="1">
      <c r="A24" s="153" t="inlineStr">
        <is>
          <t>5. Bosanna Prime Contractor Profit</t>
        </is>
      </c>
      <c r="B24" s="153" t="inlineStr">
        <is>
          <t>Retained by Bosanna LLC</t>
        </is>
      </c>
      <c r="C24" s="98" t="inlineStr">
        <is>
          <t>Pure net prime margin retained by Bosanna LLC on every monthly District billing cycle</t>
        </is>
      </c>
      <c r="D24" s="98" t="inlineStr">
        <is>
          <t>Retained Monthly</t>
        </is>
      </c>
      <c r="E24" s="196" t="n">
        <v>15550.1</v>
      </c>
      <c r="F24" s="196" t="n">
        <v>186601.2</v>
      </c>
      <c r="G24" s="155">
        <f>E24/$E$25</f>
        <v/>
      </c>
      <c r="H24" s="98" t="inlineStr">
        <is>
          <t>Guaranteed six-figure prime profit ($186,601.20/yr) with zero boots on the ground and zero equipment debt.</t>
        </is>
      </c>
    </row>
    <row r="25" ht="38" customHeight="1">
      <c r="A25" s="160" t="inlineStr">
        <is>
          <t>TOTAL BILLED TO COLLIN COLLEGE (DISTRICT CAP)</t>
        </is>
      </c>
      <c r="B25" s="160" t="inlineStr">
        <is>
          <t>Collin College Purchase Order (TIPS)</t>
        </is>
      </c>
      <c r="C25" s="161" t="inlineStr">
        <is>
          <t>Official TIPS Purchase Order billing to Collin County Community College District ($1.50M Cap)</t>
        </is>
      </c>
      <c r="D25" s="161" t="inlineStr">
        <is>
          <t>Monthly District Invoice</t>
        </is>
      </c>
      <c r="E25" s="162">
        <f>E23+E24</f>
        <v/>
      </c>
      <c r="F25" s="162">
        <f>F23+F24</f>
        <v/>
      </c>
      <c r="G25" s="163">
        <f>E25/$E$25</f>
        <v/>
      </c>
      <c r="H25" s="164" t="inlineStr">
        <is>
          <t>TIPS Approved Cooperative Pricing ($3.135 / Cleanable Sq. Ft. / Year). Exactly $1.50M Cap.</t>
        </is>
      </c>
    </row>
    <row r="26" ht="34" customHeight="1">
      <c r="A26" s="197" t="inlineStr">
        <is>
          <t>PROFIT EQUALITY COMPARISON AUDIT</t>
        </is>
      </c>
      <c r="B26" s="197" t="inlineStr">
        <is>
          <t>Bosanna Profit == HWB Profit</t>
        </is>
      </c>
      <c r="C26" s="198" t="inlineStr">
        <is>
          <t>Bosanna Prime Profit ($15,550.10/mo) vs. HWB Subcontractor Profit ($15,550.10/mo) Net Discrepancy</t>
        </is>
      </c>
      <c r="D26" s="198" t="inlineStr">
        <is>
          <t>Monthly Reconciliation</t>
        </is>
      </c>
      <c r="E26" s="199">
        <f>E24-E22</f>
        <v/>
      </c>
      <c r="F26" s="199">
        <f>F24-F22</f>
        <v/>
      </c>
      <c r="G26" s="200" t="n">
        <v>0</v>
      </c>
      <c r="H26" s="198" t="inlineStr">
        <is>
          <t>Zero Profit Discrepancy ($0.00) — 100% Symmetrical 50/50 Distributable Profit Allocation.</t>
        </is>
      </c>
    </row>
    <row r="27" ht="46" customHeight="1">
      <c r="A27" s="165" t="inlineStr">
        <is>
          <t>⚡ CASH RISK ELIMINATED &amp; 50/50 PROFIT EQUALITY: Passing W-2 payroll and supplies to Bosanna cuts HWB's cash-float risk by 94%. In return, Bosanna locks in $186,601.20 in annual prime profit with zero equipment debt. HWB earns an identical $186,601.20 net profit after covering $6,950.00/mo in hard fleet and chemical infrastructure expenses.</t>
        </is>
      </c>
      <c r="B27" s="50" t="n"/>
      <c r="C27" s="50" t="n"/>
      <c r="D27" s="50" t="n"/>
      <c r="E27" s="50" t="n"/>
      <c r="F27" s="50" t="n"/>
      <c r="G27" s="50" t="n"/>
      <c r="H27" s="49" t="n"/>
    </row>
    <row r="28" ht="14" customHeight="1"/>
    <row r="29" ht="28" customHeight="1">
      <c r="A29" s="173" t="inlineStr">
        <is>
          <t>2.0 OPERATIONAL RESPONSIBILITY MATRIX (THE DIVISION OF LABOR)</t>
        </is>
      </c>
    </row>
    <row r="30" ht="44" customHeight="1">
      <c r="A30" s="130" t="inlineStr">
        <is>
          <t>Clear operational boundaries eliminate finger-pointing and guarantee flawless campus execution. Bosanna handles the prime contract, staffing agency agreement, and supply trade billing from the back office. HWB Cleaning Services LLC provides the complete physical operating machine: heavy machinery, daily shift supervision, chemical proportioning, and rapid emergency dispatch.</t>
        </is>
      </c>
    </row>
    <row r="31" ht="28" customHeight="1">
      <c r="A31" s="59" t="inlineStr">
        <is>
          <t>Operational Function</t>
        </is>
      </c>
      <c r="B31" s="59" t="inlineStr">
        <is>
          <t>Primary Lead</t>
        </is>
      </c>
      <c r="C31" s="59" t="inlineStr">
        <is>
          <t>Supporting Partner</t>
        </is>
      </c>
      <c r="D31" s="59" t="inlineStr">
        <is>
          <t>Contract Section</t>
        </is>
      </c>
      <c r="E31" s="59" t="inlineStr">
        <is>
          <t>Execution Protocol &amp; Delivery Standard</t>
        </is>
      </c>
      <c r="F31" s="95" t="n"/>
      <c r="G31" s="59" t="inlineStr">
        <is>
          <t>Proof &amp; Deliverable</t>
        </is>
      </c>
      <c r="H31" s="59" t="inlineStr">
        <is>
          <t>Risk Mitigation &amp; Value to Bosanna</t>
        </is>
      </c>
    </row>
    <row r="32" ht="42" customHeight="1">
      <c r="A32" s="146" t="inlineStr">
        <is>
          <t>District TIPS Contract &amp; Invoicing</t>
        </is>
      </c>
      <c r="B32" s="99" t="inlineStr">
        <is>
          <t>Bosanna LLC</t>
        </is>
      </c>
      <c r="C32" s="99" t="inlineStr">
        <is>
          <t>HWB Cleaning</t>
        </is>
      </c>
      <c r="D32" s="166" t="inlineStr">
        <is>
          <t>TIPS #260102 / #260103</t>
        </is>
      </c>
      <c r="E32" s="98" t="inlineStr">
        <is>
          <t>Submits monthly certified pay applications to Collin College Business Office</t>
        </is>
      </c>
      <c r="F32" s="95" t="n"/>
      <c r="G32" s="99" t="inlineStr">
        <is>
          <t>Monthly District Invoice</t>
        </is>
      </c>
      <c r="H32" s="98" t="inlineStr">
        <is>
          <t>Bosanna holds direct prime relationship with District and collects top-line profit.</t>
        </is>
      </c>
    </row>
    <row r="33" ht="42" customHeight="1">
      <c r="A33" s="146" t="inlineStr">
        <is>
          <t>W-2 Employment &amp; Payroll Taxes</t>
        </is>
      </c>
      <c r="B33" s="99" t="inlineStr">
        <is>
          <t>Staffing Agency / Bosanna</t>
        </is>
      </c>
      <c r="C33" s="99" t="inlineStr">
        <is>
          <t>HWB Cleaning</t>
        </is>
      </c>
      <c r="D33" s="166" t="inlineStr">
        <is>
          <t>T&amp;C § 153 &amp; § 243</t>
        </is>
      </c>
      <c r="E33" s="98" t="inlineStr">
        <is>
          <t>Processes bi-weekly payroll, FICA, SUTA, FUTA for 22.6 FTEs (904.0 weekly hours per SOW § 134–136)</t>
        </is>
      </c>
      <c r="F33" s="95" t="n"/>
      <c r="G33" s="99" t="inlineStr">
        <is>
          <t>W-2 Payroll Reports</t>
        </is>
      </c>
      <c r="H33" s="98" t="inlineStr">
        <is>
          <t>100% compliant with District 'No Subcontractors' clause; eliminates classification audits.</t>
        </is>
      </c>
    </row>
    <row r="34" ht="42" customHeight="1">
      <c r="A34" s="146" t="inlineStr">
        <is>
          <t>Workers' Compensation (Code 9014)</t>
        </is>
      </c>
      <c r="B34" s="99" t="inlineStr">
        <is>
          <t>Staffing Agency</t>
        </is>
      </c>
      <c r="C34" s="99" t="inlineStr">
        <is>
          <t>Bosanna LLC</t>
        </is>
      </c>
      <c r="D34" s="166" t="inlineStr">
        <is>
          <t>Texas Labor Code</t>
        </is>
      </c>
      <c r="E34" s="98" t="inlineStr">
        <is>
          <t>Full statutory workers' compensation policy covering all physical labor on campus</t>
        </is>
      </c>
      <c r="F34" s="95" t="n"/>
      <c r="G34" s="99" t="inlineStr">
        <is>
          <t>Certificate of Insurance</t>
        </is>
      </c>
      <c r="H34" s="98" t="inlineStr">
        <is>
          <t>Shields Bosanna and HWB from all slip, fall, lifting, and workplace injury liabilities.</t>
        </is>
      </c>
    </row>
    <row r="35" ht="42" customHeight="1">
      <c r="A35" s="146" t="inlineStr">
        <is>
          <t>Restroom Supply Invoices (Line 42)</t>
        </is>
      </c>
      <c r="B35" s="99" t="inlineStr">
        <is>
          <t>Bosanna LLC</t>
        </is>
      </c>
      <c r="C35" s="99" t="inlineStr">
        <is>
          <t>HWB Cleaning</t>
        </is>
      </c>
      <c r="D35" s="166" t="inlineStr">
        <is>
          <t>T&amp;C § Restroom Supplies</t>
        </is>
      </c>
      <c r="E35" s="98" t="inlineStr">
        <is>
          <t>Direct institutional trade billing with Pollock Orora / Imperial Dade ($7,575/mo)</t>
        </is>
      </c>
      <c r="F35" s="95" t="n"/>
      <c r="G35" s="99" t="inlineStr">
        <is>
          <t>Wholesale Paid Invoice</t>
        </is>
      </c>
      <c r="H35" s="98" t="inlineStr">
        <is>
          <t>Secures lowest wholesale cost without intermediate markup; HWB verifies all counts.</t>
        </is>
      </c>
    </row>
    <row r="36" ht="42" customHeight="1">
      <c r="A36" s="146" t="inlineStr">
        <is>
          <t>$80,000+ Commercial Fleet Lease</t>
        </is>
      </c>
      <c r="B36" s="99" t="inlineStr">
        <is>
          <t>HWB Cleaning</t>
        </is>
      </c>
      <c r="C36" s="99" t="inlineStr">
        <is>
          <t>Bosanna LLC</t>
        </is>
      </c>
      <c r="D36" s="166" t="inlineStr">
        <is>
          <t>SOW § 182–205</t>
        </is>
      </c>
      <c r="E36" s="98" t="inlineStr">
        <is>
          <t>Deploys ride-on auto-scrubber, walk-behinds, burnishers, and HEPA backpack vacuums</t>
        </is>
      </c>
      <c r="F36" s="95" t="n"/>
      <c r="G36" s="99" t="inlineStr">
        <is>
          <t>Equipment Inventory Log</t>
        </is>
      </c>
      <c r="H36" s="98" t="inlineStr">
        <is>
          <t>Bosanna takes on zero equipment debt, zero capital outlay, and zero rental expenses.</t>
        </is>
      </c>
    </row>
    <row r="37" ht="42" customHeight="1">
      <c r="A37" s="146" t="inlineStr">
        <is>
          <t>Fleet Maintenance &amp; Parts Service</t>
        </is>
      </c>
      <c r="B37" s="99" t="inlineStr">
        <is>
          <t>HWB Cleaning</t>
        </is>
      </c>
      <c r="C37" s="99" t="inlineStr">
        <is>
          <t>—</t>
        </is>
      </c>
      <c r="D37" s="166" t="inlineStr">
        <is>
          <t>SOW § Equipment Fleet</t>
        </is>
      </c>
      <c r="E37" s="98" t="inlineStr">
        <is>
          <t>Regular preventive service, squeegee replacements, pad drivers, and battery service</t>
        </is>
      </c>
      <c r="F37" s="95" t="n"/>
      <c r="G37" s="99" t="inlineStr">
        <is>
          <t>Maintenance Service Logs</t>
        </is>
      </c>
      <c r="H37" s="98" t="inlineStr">
        <is>
          <t>HWB absorbs 100% of equipment breakdown costs, parts replacement, and repair float.</t>
        </is>
      </c>
    </row>
    <row r="38" ht="42" customHeight="1">
      <c r="A38" s="146" t="inlineStr">
        <is>
          <t>Closed-Loop Chemical Systems</t>
        </is>
      </c>
      <c r="B38" s="99" t="inlineStr">
        <is>
          <t>HWB Cleaning</t>
        </is>
      </c>
      <c r="C38" s="99" t="inlineStr">
        <is>
          <t>—</t>
        </is>
      </c>
      <c r="D38" s="166" t="inlineStr">
        <is>
          <t>SOW § 142</t>
        </is>
      </c>
      <c r="E38" s="98" t="inlineStr">
        <is>
          <t>Installs automatic chemical dilution dispensers in closets across all 10 buildings</t>
        </is>
      </c>
      <c r="F38" s="95" t="n"/>
      <c r="G38" s="99" t="inlineStr">
        <is>
          <t>OSHA SDS Compliance Binder</t>
        </is>
      </c>
      <c r="H38" s="98" t="inlineStr">
        <is>
          <t>Eliminates chemical waste, ensures OSHA SDS compliance, and provides floor wax.</t>
        </is>
      </c>
    </row>
    <row r="39" ht="42" customHeight="1">
      <c r="A39" s="146" t="inlineStr">
        <is>
          <t>Daily Shift Scheduling (904.0 Hours)</t>
        </is>
      </c>
      <c r="B39" s="99" t="inlineStr">
        <is>
          <t>HWB Cleaning</t>
        </is>
      </c>
      <c r="C39" s="99" t="inlineStr">
        <is>
          <t>Staffing Agency</t>
        </is>
      </c>
      <c r="D39" s="166" t="inlineStr">
        <is>
          <t>SOW § 161–163</t>
        </is>
      </c>
      <c r="E39" s="98" t="inlineStr">
        <is>
          <t>Maintains 23–25 badged worker roster strictly capped at 32–40 straight hours</t>
        </is>
      </c>
      <c r="F39" s="95" t="n"/>
      <c r="G39" s="99" t="inlineStr">
        <is>
          <t>Master Shift Schedule</t>
        </is>
      </c>
      <c r="H39" s="98" t="inlineStr">
        <is>
          <t>Zero overtime charges ($0.00 overtime billed to Bosanna); relief coverage absorbs sick days.</t>
        </is>
      </c>
    </row>
    <row r="40" ht="42" customHeight="1">
      <c r="A40" s="146" t="inlineStr">
        <is>
          <t>On-Site Bilingual Supervision</t>
        </is>
      </c>
      <c r="B40" s="99" t="inlineStr">
        <is>
          <t>HWB Cleaning</t>
        </is>
      </c>
      <c r="C40" s="99" t="inlineStr">
        <is>
          <t>—</t>
        </is>
      </c>
      <c r="D40" s="166" t="inlineStr">
        <is>
          <t>SOW § 128</t>
        </is>
      </c>
      <c r="E40" s="98" t="inlineStr">
        <is>
          <t>Full-time shift supervisor stationed in Building S; conducts daily building walkthroughs</t>
        </is>
      </c>
      <c r="F40" s="95" t="n"/>
      <c r="G40" s="99" t="inlineStr">
        <is>
          <t>Daily Supervisor Checklist</t>
        </is>
      </c>
      <c r="H40" s="98" t="inlineStr">
        <is>
          <t>Single point of contact for Collin College Facilities Director; daily key &amp; alarm management.</t>
        </is>
      </c>
    </row>
    <row r="41" ht="42" customHeight="1">
      <c r="A41" s="146" t="inlineStr">
        <is>
          <t>Biometric Fingerprint &amp; Police Log</t>
        </is>
      </c>
      <c r="B41" s="99" t="inlineStr">
        <is>
          <t>HWB Cleaning</t>
        </is>
      </c>
      <c r="C41" s="99" t="inlineStr">
        <is>
          <t>—</t>
        </is>
      </c>
      <c r="D41" s="166" t="inlineStr">
        <is>
          <t>SOW § 202 &amp; T&amp;C</t>
        </is>
      </c>
      <c r="E41" s="98" t="inlineStr">
        <is>
          <t>Cellular biometric time clock in Bldg S synchronized with Collin College Police desk logs</t>
        </is>
      </c>
      <c r="F41" s="95" t="n"/>
      <c r="G41" s="99" t="inlineStr">
        <is>
          <t>Signed Police Log &amp; Punches</t>
        </is>
      </c>
      <c r="H41" s="98" t="inlineStr">
        <is>
          <t>Audited proof of 100% hours worked submitted with monthly bills to prevent payment holds.</t>
        </is>
      </c>
    </row>
    <row r="42" ht="42" customHeight="1">
      <c r="A42" s="146" t="inlineStr">
        <is>
          <t>20-Minute Rapid Response Shield</t>
        </is>
      </c>
      <c r="B42" s="99" t="inlineStr">
        <is>
          <t>HWB Cleaning</t>
        </is>
      </c>
      <c r="C42" s="99" t="inlineStr">
        <is>
          <t>—</t>
        </is>
      </c>
      <c r="D42" s="166" t="inlineStr">
        <is>
          <t>T&amp;C § 159</t>
        </is>
      </c>
      <c r="E42" s="98" t="inlineStr">
        <is>
          <t>Immediate dispatch to correct flagged deficiencies within twenty (20) minutes</t>
        </is>
      </c>
      <c r="F42" s="95" t="n"/>
      <c r="G42" s="99" t="inlineStr">
        <is>
          <t>Rapid Dispatch Tickets</t>
        </is>
      </c>
      <c r="H42" s="98" t="inlineStr">
        <is>
          <t>Stops Collin College from assessing contractual 2-hour clawbacks and monthly deductions.</t>
        </is>
      </c>
    </row>
    <row r="43" ht="44" customHeight="1">
      <c r="A43" s="165" t="inlineStr">
        <is>
          <t>🛡️ ON-SITE DEFENSE: By stationing full-time supervision on campus and enforcing the 20-minute rapid-response protocol, HWB protects Bosanna's TIPS reputation and guarantees that Collin College receives a spotless APPA Level 2 campus every morning.</t>
        </is>
      </c>
      <c r="B43" s="50" t="n"/>
      <c r="C43" s="50" t="n"/>
      <c r="D43" s="50" t="n"/>
      <c r="E43" s="50" t="n"/>
      <c r="F43" s="50" t="n"/>
      <c r="G43" s="50" t="n"/>
      <c r="H43" s="49" t="n"/>
    </row>
    <row r="44" ht="14" customHeight="1"/>
    <row r="45" ht="28" customHeight="1">
      <c r="A45" s="173" t="inlineStr">
        <is>
          <t>3.0 THE 5 STRATEGIC ADVANTAGES FOR BOSANNA LLC (WHY THIS MODEL WINS)</t>
        </is>
      </c>
    </row>
    <row r="46" ht="42" customHeight="1">
      <c r="A46" s="130" t="inlineStr">
        <is>
          <t>The Turnkey Hybrid Model is specifically engineered to maximize Bosanna's net profit while eliminating operational friction. Bosanna captures high-margin public sector revenue without having to build a commercial cleaning company from scratch.</t>
        </is>
      </c>
    </row>
    <row r="47" ht="28" customHeight="1">
      <c r="A47" s="59" t="inlineStr">
        <is>
          <t>Strategic Advantage</t>
        </is>
      </c>
      <c r="B47" s="59" t="inlineStr">
        <is>
          <t>Core Benefit to Bosanna</t>
        </is>
      </c>
      <c r="C47" s="59" t="inlineStr">
        <is>
          <t>Conventional Industry Risk</t>
        </is>
      </c>
      <c r="D47" s="95" t="n"/>
      <c r="E47" s="59" t="inlineStr">
        <is>
          <t>How This Model Eliminates The Risk</t>
        </is>
      </c>
      <c r="F47" s="95" t="n"/>
      <c r="G47" s="59" t="inlineStr">
        <is>
          <t>Financial &amp; Operational Impact</t>
        </is>
      </c>
      <c r="H47" s="95" t="n"/>
    </row>
    <row r="48" ht="48" customHeight="1">
      <c r="A48" s="146" t="inlineStr">
        <is>
          <t>1. Zero Equipment Debt &amp; Free Capital Fleet</t>
        </is>
      </c>
      <c r="B48" s="98" t="inlineStr">
        <is>
          <t>$80,000+ commercial fleet deployed Day 1</t>
        </is>
      </c>
      <c r="C48" s="167" t="inlineStr">
        <is>
          <t>Requires $75k–$100k cash or $5k/mo rental debt</t>
        </is>
      </c>
      <c r="D48" s="95" t="n"/>
      <c r="E48" s="98" t="inlineStr">
        <is>
          <t>HWB furnishes, delivers, and maintains the entire machinery fleet at zero capital cost to Bosanna</t>
        </is>
      </c>
      <c r="F48" s="95" t="n"/>
      <c r="G48" s="121" t="inlineStr">
        <is>
          <t>Saves Bosanna $60,000.00/year in equipment lease and maintenance costs.</t>
        </is>
      </c>
      <c r="H48" s="95" t="n"/>
    </row>
    <row r="49" ht="48" customHeight="1">
      <c r="A49" s="146" t="inlineStr">
        <is>
          <t>2. Complete W-2 Statutory Legal Shield</t>
        </is>
      </c>
      <c r="B49" s="98" t="inlineStr">
        <is>
          <t>100% compliant with District T&amp;C § 153/243</t>
        </is>
      </c>
      <c r="C49" s="167" t="inlineStr">
        <is>
          <t>Co-employment liabilities and payroll tax audits</t>
        </is>
      </c>
      <c r="D49" s="95" t="n"/>
      <c r="E49" s="98" t="inlineStr">
        <is>
          <t>Commercial staffing partner serves as statutory employer of record for all 22.6 FTEs</t>
        </is>
      </c>
      <c r="F49" s="95" t="n"/>
      <c r="G49" s="121" t="inlineStr">
        <is>
          <t>Zero payroll tax audits, zero unemployment liabilities, and zero workers' comp claims.</t>
        </is>
      </c>
      <c r="H49" s="95" t="n"/>
    </row>
    <row r="50" ht="48" customHeight="1">
      <c r="A50" s="146" t="inlineStr">
        <is>
          <t>3. 20-Minute Rapid-Response Penalty Shield</t>
        </is>
      </c>
      <c r="B50" s="98" t="inlineStr">
        <is>
          <t>Prevents District 2-hour invoice clawbacks</t>
        </is>
      </c>
      <c r="C50" s="167" t="inlineStr">
        <is>
          <t>Unsupervised temp workers cause $500+ deductions</t>
        </is>
      </c>
      <c r="D50" s="95" t="n"/>
      <c r="E50" s="98" t="inlineStr">
        <is>
          <t>HWB full-time shift supervisors conduct nightly inspections and correct deficiencies in 20 minutes</t>
        </is>
      </c>
      <c r="F50" s="95" t="n"/>
      <c r="G50" s="121" t="inlineStr">
        <is>
          <t>Guarantees 100% full invoice collection from Collin College without clawbacks.</t>
        </is>
      </c>
      <c r="H50" s="95" t="n"/>
    </row>
    <row r="51" ht="48" customHeight="1">
      <c r="A51" s="146" t="inlineStr">
        <is>
          <t>4. Dual-Audit Verified Proof of Hours</t>
        </is>
      </c>
      <c r="B51" s="98" t="inlineStr">
        <is>
          <t>Cellular fingerprint punches match police log</t>
        </is>
      </c>
      <c r="C51" s="167" t="inlineStr">
        <is>
          <t>College delays payment due to disputed hours</t>
        </is>
      </c>
      <c r="D51" s="95" t="n"/>
      <c r="E51" s="98" t="inlineStr">
        <is>
          <t>Digital biometric punches reconciled daily with Collin College Police desk sign-in logbook</t>
        </is>
      </c>
      <c r="F51" s="95" t="n"/>
      <c r="G51" s="121" t="inlineStr">
        <is>
          <t>Provides undeniable audit records that satisfy the College Business Office every month.</t>
        </is>
      </c>
      <c r="H51" s="95" t="n"/>
    </row>
    <row r="52" ht="48" customHeight="1">
      <c r="A52" s="146" t="inlineStr">
        <is>
          <t>5. Hands-Off Six-Figure Passive Profit</t>
        </is>
      </c>
      <c r="B52" s="98" t="inlineStr">
        <is>
          <t>Over $186,000.00 annual net margin</t>
        </is>
      </c>
      <c r="C52" s="167" t="inlineStr">
        <is>
          <t>Management burnouts and operational friction</t>
        </is>
      </c>
      <c r="D52" s="95" t="n"/>
      <c r="E52" s="98" t="inlineStr">
        <is>
          <t>HWB manages all on-site operations; Bosanna acts as the prime contractor and billing authority</t>
        </is>
      </c>
      <c r="F52" s="95" t="n"/>
      <c r="G52" s="121" t="inlineStr">
        <is>
          <t>Generates $186,601.20/year ($933,006.00 over 5 years) in pure prime margin.</t>
        </is>
      </c>
      <c r="H52" s="95" t="n"/>
    </row>
    <row r="53" ht="14" customHeight="1"/>
    <row r="54" ht="28" customHeight="1">
      <c r="A54" s="173" t="inlineStr">
        <is>
          <t>4.0 EXECUTION ROADMAP &amp; NEXT STEPS FOR CONTRACT AWARD</t>
        </is>
      </c>
    </row>
    <row r="55" ht="28" customHeight="1">
      <c r="A55" s="168" t="inlineStr">
        <is>
          <t>Five simple steps transition this model from proposal to Day 1 operational execution at Collin College Frisco Campus.</t>
        </is>
      </c>
    </row>
    <row r="56" ht="28" customHeight="1">
      <c r="A56" s="59" t="inlineStr">
        <is>
          <t>Action Step</t>
        </is>
      </c>
      <c r="B56" s="59" t="inlineStr">
        <is>
          <t>Key Milestone &amp; Task Description</t>
        </is>
      </c>
      <c r="C56" s="95" t="n"/>
      <c r="D56" s="59" t="inlineStr">
        <is>
          <t>Responsible Party</t>
        </is>
      </c>
      <c r="E56" s="59" t="inlineStr">
        <is>
          <t>Target Completion</t>
        </is>
      </c>
      <c r="F56" s="59" t="inlineStr">
        <is>
          <t>Operational Deliverable &amp; Output</t>
        </is>
      </c>
      <c r="G56" s="94" t="n"/>
      <c r="H56" s="95" t="n"/>
    </row>
    <row r="57" ht="42" customHeight="1">
      <c r="A57" s="146" t="inlineStr">
        <is>
          <t>Step 1: Staffing Rate Confirmation</t>
        </is>
      </c>
      <c r="B57" s="98" t="inlineStr">
        <is>
          <t>Confirm loaded hourly bill rates with commercial staffing partner based on HWB's 904.0 weekly hours SOW roster</t>
        </is>
      </c>
      <c r="C57" s="95" t="n"/>
      <c r="D57" s="122" t="inlineStr">
        <is>
          <t>Bosanna LLC &amp; Staffing Partner</t>
        </is>
      </c>
      <c r="E57" s="166" t="inlineStr">
        <is>
          <t>Pre-Award / Week 1</t>
        </is>
      </c>
      <c r="F57" s="98" t="inlineStr">
        <is>
          <t>Staffing contract locking $16.00 and $22.00 pay rates (~21.8% load factor).</t>
        </is>
      </c>
      <c r="G57" s="94" t="n"/>
      <c r="H57" s="95" t="n"/>
    </row>
    <row r="58" ht="42" customHeight="1">
      <c r="A58" s="146" t="inlineStr">
        <is>
          <t>Step 2: Execute Master Services Agreement</t>
        </is>
      </c>
      <c r="B58" s="98" t="inlineStr">
        <is>
          <t>Execute the Turnkey Master Services Agreement between Bosanna LLC and HWB Cleaning Services LLC</t>
        </is>
      </c>
      <c r="C58" s="95" t="n"/>
      <c r="D58" s="122" t="inlineStr">
        <is>
          <t>Bosanna LLC &amp; HWB Cleaning</t>
        </is>
      </c>
      <c r="E58" s="166" t="inlineStr">
        <is>
          <t>Pre-Award / Week 1</t>
        </is>
      </c>
      <c r="F58" s="98" t="inlineStr">
        <is>
          <t>Formal subcontract locking HWB's $22,500.10/month turnkey management and fleet fee.</t>
        </is>
      </c>
      <c r="G58" s="94" t="n"/>
      <c r="H58" s="95" t="n"/>
    </row>
    <row r="59" ht="42" customHeight="1">
      <c r="A59" s="146" t="inlineStr">
        <is>
          <t>Step 3: Setup Wholesale Trade Accounts</t>
        </is>
      </c>
      <c r="B59" s="98" t="inlineStr">
        <is>
          <t>Establish direct 30-day institutional trade credit with Pollock Orora or Imperial Dade using HWB order guide</t>
        </is>
      </c>
      <c r="C59" s="95" t="n"/>
      <c r="D59" s="122" t="inlineStr">
        <is>
          <t>Bosanna LLC &amp; HWB Procurement</t>
        </is>
      </c>
      <c r="E59" s="166" t="inlineStr">
        <is>
          <t>Pre-Award / Week 2</t>
        </is>
      </c>
      <c r="F59" s="98" t="inlineStr">
        <is>
          <t>Approved trade accounts securing $7,575.00/month wholesale pricing for restroom paper and soap.</t>
        </is>
      </c>
      <c r="G59" s="94" t="n"/>
      <c r="H59" s="95" t="n"/>
    </row>
    <row r="60" ht="42" customHeight="1">
      <c r="A60" s="146" t="inlineStr">
        <is>
          <t>Step 4: Formal TIPS Proposal Submission</t>
        </is>
      </c>
      <c r="B60" s="98" t="inlineStr">
        <is>
          <t>Submit final Collin College Frisco Campus proposal under TIPS Cooperative contracts #260102 / #260103</t>
        </is>
      </c>
      <c r="C60" s="95" t="n"/>
      <c r="D60" s="122" t="inlineStr">
        <is>
          <t>Bosanna LLC (Prime Contractor)</t>
        </is>
      </c>
      <c r="E60" s="166" t="inlineStr">
        <is>
          <t>Target District Due Date</t>
        </is>
      </c>
      <c r="F60" s="98" t="inlineStr">
        <is>
          <t>Official Purchase Order proposal for $125,000.00/month ($1,500,000.00/year cap).</t>
        </is>
      </c>
      <c r="G60" s="94" t="n"/>
      <c r="H60" s="95" t="n"/>
    </row>
    <row r="61" ht="42" customHeight="1">
      <c r="A61" s="146" t="inlineStr">
        <is>
          <t>Step 5: Day 1 Campus Mobilization</t>
        </is>
      </c>
      <c r="B61" s="98" t="inlineStr">
        <is>
          <t>Stage commercial scrubbers, install chemical dilution dispensers in 10 bldgs, deploy biometric clock in Bldg S</t>
        </is>
      </c>
      <c r="C61" s="95" t="n"/>
      <c r="D61" s="122" t="inlineStr">
        <is>
          <t>HWB Operations &amp; Collin College</t>
        </is>
      </c>
      <c r="E61" s="166" t="inlineStr">
        <is>
          <t>Contract Start Date</t>
        </is>
      </c>
      <c r="F61" s="98" t="inlineStr">
        <is>
          <t>Full turnkey Day 1 handover ensuring APPA Level 2 clean from the very first morning.</t>
        </is>
      </c>
      <c r="G61" s="94" t="n"/>
      <c r="H61" s="95" t="n"/>
    </row>
    <row r="62" ht="48" customHeight="1">
      <c r="A62" s="165" t="inlineStr">
        <is>
          <t>🤝 EXECUTIVE COMMITMENT: This Turnkey Hybrid Model unites Bosanna's prime contracting strength with HWB's field operations power. Together, we deliver a flawless, audit-proof custodial operation for Collin College Frisco Campus while locking in guaranteed profitability for both organizations.</t>
        </is>
      </c>
      <c r="B62" s="50" t="n"/>
      <c r="C62" s="50" t="n"/>
      <c r="D62" s="50" t="n"/>
      <c r="E62" s="50" t="n"/>
      <c r="F62" s="50" t="n"/>
      <c r="G62" s="50" t="n"/>
      <c r="H62" s="49" t="n"/>
    </row>
  </sheetData>
  <mergeCells count="82">
    <mergeCell ref="F5:H5"/>
    <mergeCell ref="E51:F51"/>
    <mergeCell ref="B61:C61"/>
    <mergeCell ref="C50:D50"/>
    <mergeCell ref="F61:H61"/>
    <mergeCell ref="B6:D6"/>
    <mergeCell ref="E34:F34"/>
    <mergeCell ref="A3:H3"/>
    <mergeCell ref="A55:H55"/>
    <mergeCell ref="B4:D4"/>
    <mergeCell ref="E49:F49"/>
    <mergeCell ref="E36:F36"/>
    <mergeCell ref="A29:H29"/>
    <mergeCell ref="A13:H13"/>
    <mergeCell ref="A44:H44"/>
    <mergeCell ref="F7:H7"/>
    <mergeCell ref="A9:B9"/>
    <mergeCell ref="A15:H15"/>
    <mergeCell ref="A11:B11"/>
    <mergeCell ref="E48:F48"/>
    <mergeCell ref="G48:H48"/>
    <mergeCell ref="E38:F38"/>
    <mergeCell ref="C47:D47"/>
    <mergeCell ref="E40:F40"/>
    <mergeCell ref="A27:H27"/>
    <mergeCell ref="G49:H49"/>
    <mergeCell ref="B5:D5"/>
    <mergeCell ref="A2:H2"/>
    <mergeCell ref="A62:H62"/>
    <mergeCell ref="A10:B10"/>
    <mergeCell ref="A28:H28"/>
    <mergeCell ref="G9:H9"/>
    <mergeCell ref="F59:H59"/>
    <mergeCell ref="E50:F50"/>
    <mergeCell ref="A30:H30"/>
    <mergeCell ref="G11:H11"/>
    <mergeCell ref="E52:F52"/>
    <mergeCell ref="B56:C56"/>
    <mergeCell ref="E39:F39"/>
    <mergeCell ref="B58:C58"/>
    <mergeCell ref="A54:H54"/>
    <mergeCell ref="F58:H58"/>
    <mergeCell ref="B60:C60"/>
    <mergeCell ref="B57:C57"/>
    <mergeCell ref="E31:F31"/>
    <mergeCell ref="F60:H60"/>
    <mergeCell ref="C51:D51"/>
    <mergeCell ref="F57:H57"/>
    <mergeCell ref="C48:D48"/>
    <mergeCell ref="A8:H8"/>
    <mergeCell ref="G51:H51"/>
    <mergeCell ref="F6:H6"/>
    <mergeCell ref="A53:H53"/>
    <mergeCell ref="E32:F32"/>
    <mergeCell ref="E41:F41"/>
    <mergeCell ref="G50:H50"/>
    <mergeCell ref="C49:D49"/>
    <mergeCell ref="G52:H52"/>
    <mergeCell ref="B59:C59"/>
    <mergeCell ref="E33:F33"/>
    <mergeCell ref="E42:F42"/>
    <mergeCell ref="A1:H1"/>
    <mergeCell ref="A45:H45"/>
    <mergeCell ref="E35:F35"/>
    <mergeCell ref="C10:D10"/>
    <mergeCell ref="E10:F10"/>
    <mergeCell ref="G10:H10"/>
    <mergeCell ref="F56:H56"/>
    <mergeCell ref="C9:D9"/>
    <mergeCell ref="A46:H46"/>
    <mergeCell ref="E9:F9"/>
    <mergeCell ref="A12:H12"/>
    <mergeCell ref="C11:D11"/>
    <mergeCell ref="E11:F11"/>
    <mergeCell ref="F4:H4"/>
    <mergeCell ref="A14:H14"/>
    <mergeCell ref="C52:D52"/>
    <mergeCell ref="B7:D7"/>
    <mergeCell ref="G47:H47"/>
    <mergeCell ref="A43:H43"/>
    <mergeCell ref="E37:F37"/>
    <mergeCell ref="E47:F47"/>
  </mergeCells>
  <printOptions horizontalCentered="1"/>
  <pageMargins left="0.25" right="0.25" top="0.35" bottom="0.35" header="0.15" footer="0.15"/>
  <pageSetup orientation="landscape" paperSize="1" fitToHeight="0" fitToWidth="1"/>
  <rowBreaks count="2" manualBreakCount="2">
    <brk id="28" min="0" max="16383" man="1"/>
    <brk id="44" min="0" max="16383" man="1"/>
  </rowBreaks>
</worksheet>
</file>

<file path=xl/worksheets/sheet2.xml><?xml version="1.0" encoding="utf-8"?>
<worksheet xmlns="http://schemas.openxmlformats.org/spreadsheetml/2006/main">
  <sheetPr>
    <outlinePr summaryBelow="1" summaryRight="1"/>
    <pageSetUpPr fitToPage="1"/>
  </sheetPr>
  <dimension ref="A1:I83"/>
  <sheetViews>
    <sheetView showGridLines="1" workbookViewId="0">
      <selection activeCell="A1" sqref="A1"/>
    </sheetView>
  </sheetViews>
  <sheetFormatPr baseColWidth="8" defaultRowHeight="15"/>
  <cols>
    <col width="22" customWidth="1" min="1" max="1"/>
    <col width="24" customWidth="1" min="2" max="2"/>
    <col width="36" customWidth="1" min="3" max="3"/>
    <col width="20" customWidth="1" min="4" max="4"/>
    <col width="18" customWidth="1" min="5" max="5"/>
    <col width="16" customWidth="1" min="6" max="6"/>
    <col width="16" customWidth="1" min="7" max="7"/>
    <col width="18" customWidth="1" min="8" max="8"/>
    <col width="46" customWidth="1" min="9" max="9"/>
  </cols>
  <sheetData>
    <row r="1" ht="28" customHeight="1">
      <c r="A1" s="203" t="inlineStr">
        <is>
          <t>HWB CLEANING SERVICES LLC — COMMERCIAL CLEANING SUBCONTRACT QUOTE</t>
        </is>
      </c>
    </row>
    <row r="2" ht="22" customHeight="1">
      <c r="A2" s="204" t="inlineStr">
        <is>
          <t>COLLIN COLLEGE — FRISCO CAMPUS (10 BUILDINGS / 478,418 CLEANABLE SQ. FT. / 1,120.0 HOURS PER WEEK)</t>
        </is>
      </c>
    </row>
    <row r="3" ht="10" customHeight="1"/>
    <row r="4" ht="18" customHeight="1">
      <c r="A4" s="55" t="inlineStr">
        <is>
          <t>Prime Contractor / Client:</t>
        </is>
      </c>
      <c r="B4" s="56" t="inlineStr">
        <is>
          <t>Bosanna LLC (Attn: Angelica Hudgins)</t>
        </is>
      </c>
      <c r="F4" s="55" t="inlineStr">
        <is>
          <t>School / Project Name:</t>
        </is>
      </c>
      <c r="G4" s="56" t="inlineStr">
        <is>
          <t>Collin College Frisco Campus Custodial Replacement</t>
        </is>
      </c>
    </row>
    <row r="5" ht="18" customHeight="1">
      <c r="A5" s="55" t="inlineStr">
        <is>
          <t>Approved Purchasing Program:</t>
        </is>
      </c>
      <c r="B5" s="56" t="inlineStr">
        <is>
          <t>Texas TIPS Purchasing Cooperative (#260103 / #260102)</t>
        </is>
      </c>
      <c r="F5" s="55" t="inlineStr">
        <is>
          <t>Contract Length:</t>
        </is>
      </c>
      <c r="G5" s="56" t="inlineStr">
        <is>
          <t>3-Year Base Contract + 2 One-Year Extensions</t>
        </is>
      </c>
    </row>
    <row r="6" ht="18" customHeight="1">
      <c r="A6" s="55" t="inlineStr">
        <is>
          <t>Campus Size to Clean:</t>
        </is>
      </c>
      <c r="B6" s="56" t="inlineStr">
        <is>
          <t>478,418 Cleanable Sq. Ft. (10 Buildings + Parking Elevator Lobbies)</t>
        </is>
      </c>
      <c r="F6" s="55" t="inlineStr">
        <is>
          <t>Cleaning Quality Standard:</t>
        </is>
      </c>
      <c r="G6" s="56" t="inlineStr">
        <is>
          <t>Top-Tier School Clean (Spotless APPA Level 2 Clean Every Morning)</t>
        </is>
      </c>
    </row>
    <row r="7" ht="18" customHeight="1">
      <c r="A7" s="55" t="inlineStr">
        <is>
          <t>Weekly Campus Work Hours:</t>
        </is>
      </c>
      <c r="B7" s="56" t="inlineStr">
        <is>
          <t>1,120.0 Hours Every Week (28 Full-Time Equivalent Workers)</t>
        </is>
      </c>
      <c r="F7" s="55" t="inlineStr">
        <is>
          <t>Proof of Hours Worked:</t>
        </is>
      </c>
      <c r="G7" s="56" t="inlineStr">
        <is>
          <t>Fingerprint Time Clock Records + Police Desk Sign-In Sheet</t>
        </is>
      </c>
    </row>
    <row r="8" ht="18" customHeight="1"/>
    <row r="9" ht="26" customHeight="1">
      <c r="A9" s="57" t="inlineStr">
        <is>
          <t>1.0 COMMERCIAL PRICING SCHEDULE (BILLED TO BOSANNA LLC)</t>
        </is>
      </c>
    </row>
    <row r="10" ht="18" customHeight="1">
      <c r="A10" s="104" t="inlineStr">
        <is>
          <t>MONTHLY SUBCONTRACT BASE</t>
        </is>
      </c>
      <c r="B10" s="138" t="n"/>
      <c r="C10" s="106" t="inlineStr">
        <is>
          <t>ANNUAL SUBCONTRACT TOTAL</t>
        </is>
      </c>
      <c r="D10" s="138" t="n"/>
      <c r="E10" s="106" t="inlineStr">
        <is>
          <t>SQUARE FOOT RATE</t>
        </is>
      </c>
      <c r="F10" s="138" t="n"/>
      <c r="G10" s="106" t="inlineStr">
        <is>
          <t>WEEKLY LABOR HOURS</t>
        </is>
      </c>
      <c r="H10" s="139" t="n"/>
      <c r="I10" s="138" t="n"/>
    </row>
    <row r="11" ht="28" customHeight="1">
      <c r="A11" s="108" t="inlineStr">
        <is>
          <t>$141,316.70</t>
        </is>
      </c>
      <c r="B11" s="95" t="n"/>
      <c r="C11" s="110" t="inlineStr">
        <is>
          <t>$1,695,800.40</t>
        </is>
      </c>
      <c r="D11" s="95" t="n"/>
      <c r="E11" s="110" t="inlineStr">
        <is>
          <t>$3.54 / SF / Year</t>
        </is>
      </c>
      <c r="F11" s="95" t="n"/>
      <c r="G11" s="110" t="inlineStr">
        <is>
          <t>1,120.0 Hours / Wk</t>
        </is>
      </c>
      <c r="H11" s="94" t="n"/>
      <c r="I11" s="95" t="n"/>
    </row>
    <row r="12" ht="18" customHeight="1">
      <c r="A12" s="112" t="inlineStr">
        <is>
          <t>Scheduled Labor + Restroom Supplies</t>
        </is>
      </c>
      <c r="B12" s="140" t="n"/>
      <c r="C12" s="114" t="inlineStr">
        <is>
          <t>12 Months Fixed Base (Lines 41 + 42)</t>
        </is>
      </c>
      <c r="D12" s="140" t="n"/>
      <c r="E12" s="114" t="inlineStr">
        <is>
          <t>$0.295 / Sq. Ft. / Month</t>
        </is>
      </c>
      <c r="F12" s="140" t="n"/>
      <c r="G12" s="114" t="inlineStr">
        <is>
          <t>28.0 Cleaners | Zero Overtime Scheduled</t>
        </is>
      </c>
      <c r="H12" s="141" t="n"/>
      <c r="I12" s="140" t="n"/>
    </row>
    <row r="13" ht="10" customHeight="1"/>
    <row r="14" ht="36" customHeight="1">
      <c r="A14" s="93" t="inlineStr">
        <is>
          <t>Cleaning Services &amp; Direct Pricing: HWB Cleaning Services LLC provides full cleaning management, staff, floor machines, and restroom paper supplies for Collin College Frisco Campus (10 buildings / 478,418 cleanable sq. ft.). All 1,120.0 weekly hours are worked by 29 to 32 badged employees kept to regular daytime and evening hours, with zero overtime costs to Bosanna LLC ($0.00 overtime charge).</t>
        </is>
      </c>
    </row>
    <row r="15" ht="10" customHeight="1"/>
    <row r="16" ht="28" customHeight="1">
      <c r="A16" s="59" t="inlineStr">
        <is>
          <t>RFP Line #</t>
        </is>
      </c>
      <c r="B16" s="59" t="inlineStr">
        <is>
          <t>Contract Section</t>
        </is>
      </c>
      <c r="C16" s="59" t="inlineStr">
        <is>
          <t>Service Description &amp; Scope</t>
        </is>
      </c>
      <c r="D16" s="59" t="inlineStr">
        <is>
          <t>Unit</t>
        </is>
      </c>
      <c r="E16" s="59" t="inlineStr">
        <is>
          <t>Billing Schedule</t>
        </is>
      </c>
      <c r="F16" s="59" t="inlineStr">
        <is>
          <t>HWB Price ($)</t>
        </is>
      </c>
      <c r="G16" s="59" t="inlineStr">
        <is>
          <t>Monthly Total ($)</t>
        </is>
      </c>
      <c r="H16" s="59" t="inlineStr">
        <is>
          <t>Yearly Total ($)</t>
        </is>
      </c>
      <c r="I16" s="59" t="inlineStr">
        <is>
          <t>What is Included &amp; Contract Scope</t>
        </is>
      </c>
    </row>
    <row r="17" ht="38" customHeight="1">
      <c r="A17" s="60" t="inlineStr">
        <is>
          <t>Line 41</t>
        </is>
      </c>
      <c r="B17" s="122" t="inlineStr">
        <is>
          <t>SOW § Schedule of Work</t>
        </is>
      </c>
      <c r="C17" s="98" t="inlineStr">
        <is>
          <t>Scheduled Campus Cleaning (Night &amp; Day Teams)</t>
        </is>
      </c>
      <c r="D17" s="99" t="inlineStr">
        <is>
          <t>Month</t>
        </is>
      </c>
      <c r="E17" s="99" t="inlineStr">
        <is>
          <t>Fixed Monthly Price</t>
        </is>
      </c>
      <c r="F17" s="63" t="n">
        <v>132984.2</v>
      </c>
      <c r="G17" s="63" t="n">
        <v>132984.2</v>
      </c>
      <c r="H17" s="63" t="n">
        <v>1595810.4</v>
      </c>
      <c r="I17" s="98" t="inlineStr">
        <is>
          <t>1,120 hours of daily cleaning across all 10 campus buildings (29–32 trained workers | Zero Overtime)</t>
        </is>
      </c>
    </row>
    <row r="18" ht="38" customHeight="1">
      <c r="A18" s="60" t="inlineStr">
        <is>
          <t>Line 42</t>
        </is>
      </c>
      <c r="B18" s="122" t="inlineStr">
        <is>
          <t>T&amp;C § Restroom Supplies</t>
        </is>
      </c>
      <c r="C18" s="98" t="inlineStr">
        <is>
          <t>Restroom Supplies &amp; Paper Products Refills</t>
        </is>
      </c>
      <c r="D18" s="99" t="inlineStr">
        <is>
          <t>Month</t>
        </is>
      </c>
      <c r="E18" s="99" t="inlineStr">
        <is>
          <t>Fixed Monthly Price</t>
        </is>
      </c>
      <c r="F18" s="63" t="n">
        <v>8332.5</v>
      </c>
      <c r="G18" s="63" t="n">
        <v>8332.5</v>
      </c>
      <c r="H18" s="63" t="n">
        <v>99990</v>
      </c>
      <c r="I18" s="98" t="inlineStr">
        <is>
          <t>Complete campus paper supplies: enMotion roll towels, 2-ply bath tissue, foaming soap &amp; heavy-duty can liners</t>
        </is>
      </c>
    </row>
    <row r="19" ht="38" customHeight="1">
      <c r="A19" s="60" t="inlineStr">
        <is>
          <t>Line 43</t>
        </is>
      </c>
      <c r="B19" s="122" t="inlineStr">
        <is>
          <t>SOW § Unscheduled Work</t>
        </is>
      </c>
      <c r="C19" s="98" t="inlineStr">
        <is>
          <t>Extra Cleaning Helper: Weekdays (Monday to Friday)</t>
        </is>
      </c>
      <c r="D19" s="99" t="inlineStr">
        <is>
          <t>Hour</t>
        </is>
      </c>
      <c r="E19" s="99" t="inlineStr">
        <is>
          <t>As Requested / Billed Hourly</t>
        </is>
      </c>
      <c r="F19" s="63" t="n">
        <v>31.5</v>
      </c>
      <c r="G19" s="65" t="n"/>
      <c r="H19" s="65" t="n"/>
      <c r="I19" s="98" t="inlineStr">
        <is>
          <t>Extra worker sent within 24 hours if the college requests one for weekday events</t>
        </is>
      </c>
    </row>
    <row r="20" ht="38" customHeight="1">
      <c r="A20" s="60" t="inlineStr">
        <is>
          <t>Line 44</t>
        </is>
      </c>
      <c r="B20" s="122" t="inlineStr">
        <is>
          <t>SOW § Unscheduled Work</t>
        </is>
      </c>
      <c r="C20" s="98" t="inlineStr">
        <is>
          <t>Extra Cleaning Helper: Saturday</t>
        </is>
      </c>
      <c r="D20" s="99" t="inlineStr">
        <is>
          <t>Hour</t>
        </is>
      </c>
      <c r="E20" s="99" t="inlineStr">
        <is>
          <t>As Requested / Billed Hourly</t>
        </is>
      </c>
      <c r="F20" s="63" t="n">
        <v>35</v>
      </c>
      <c r="G20" s="65" t="n"/>
      <c r="H20" s="65" t="n"/>
      <c r="I20" s="98" t="inlineStr">
        <is>
          <t>Weekend helper sent for special campus events; worker speaks fluent English</t>
        </is>
      </c>
    </row>
    <row r="21" ht="38" customHeight="1">
      <c r="A21" s="60" t="inlineStr">
        <is>
          <t>Line 45</t>
        </is>
      </c>
      <c r="B21" s="122" t="inlineStr">
        <is>
          <t>SOW § Unscheduled Work</t>
        </is>
      </c>
      <c r="C21" s="98" t="inlineStr">
        <is>
          <t>Extra Cleaning Helper: Sunday &amp; Holidays</t>
        </is>
      </c>
      <c r="D21" s="99" t="inlineStr">
        <is>
          <t>Hour</t>
        </is>
      </c>
      <c r="E21" s="99" t="inlineStr">
        <is>
          <t>As Requested / Billed Hourly</t>
        </is>
      </c>
      <c r="F21" s="63" t="n">
        <v>42</v>
      </c>
      <c r="G21" s="65" t="n"/>
      <c r="H21" s="65" t="n"/>
      <c r="I21" s="98" t="inlineStr">
        <is>
          <t>Special holiday or Sunday event helper sent upon request</t>
        </is>
      </c>
    </row>
    <row r="22" ht="38" customHeight="1">
      <c r="A22" s="60" t="inlineStr">
        <is>
          <t>Line 46</t>
        </is>
      </c>
      <c r="B22" s="122" t="inlineStr">
        <is>
          <t>SOW § Floor Care</t>
        </is>
      </c>
      <c r="C22" s="98" t="inlineStr">
        <is>
          <t>Tile Floor Deep Strip &amp; 4-Coat Wax Refinishing</t>
        </is>
      </c>
      <c r="D22" s="99" t="inlineStr">
        <is>
          <t>Sq. Ft.</t>
        </is>
      </c>
      <c r="E22" s="99" t="inlineStr">
        <is>
          <t>Per Job Order Request</t>
        </is>
      </c>
      <c r="F22" s="64" t="n">
        <v>0.27</v>
      </c>
      <c r="G22" s="65" t="n"/>
      <c r="H22" s="65" t="n"/>
      <c r="I22" s="98" t="inlineStr">
        <is>
          <t>Strip off old wax, deep scrub bare floor, and put down 4 shiny, durable coats of floor wax</t>
        </is>
      </c>
    </row>
    <row r="23" ht="38" customHeight="1">
      <c r="A23" s="60" t="inlineStr">
        <is>
          <t>Line 47</t>
        </is>
      </c>
      <c r="B23" s="122" t="inlineStr">
        <is>
          <t>SOW § Floor Care</t>
        </is>
      </c>
      <c r="C23" s="98" t="inlineStr">
        <is>
          <t>Carpet Deep Hot-Water Steam Cleaning</t>
        </is>
      </c>
      <c r="D23" s="99" t="inlineStr">
        <is>
          <t>Sq. Ft.</t>
        </is>
      </c>
      <c r="E23" s="99" t="inlineStr">
        <is>
          <t>Per Job Order Request</t>
        </is>
      </c>
      <c r="F23" s="64" t="n">
        <v>0.3</v>
      </c>
      <c r="G23" s="65" t="n"/>
      <c r="H23" s="65" t="n"/>
      <c r="I23" s="98" t="inlineStr">
        <is>
          <t>Heavy-duty steam machine pulls deep dirt, spills, and food stains from carpets</t>
        </is>
      </c>
    </row>
    <row r="24" ht="38" customHeight="1">
      <c r="A24" s="60" t="inlineStr">
        <is>
          <t>Line 48</t>
        </is>
      </c>
      <c r="B24" s="122" t="inlineStr">
        <is>
          <t>SOW § 7.17 / T&amp;C</t>
        </is>
      </c>
      <c r="C24" s="98" t="inlineStr">
        <is>
          <t>Square Foot Price Adjustment (Add or Close Space)</t>
        </is>
      </c>
      <c r="D24" s="99" t="inlineStr">
        <is>
          <t>Sq. Ft./Yr</t>
        </is>
      </c>
      <c r="E24" s="99" t="inlineStr">
        <is>
          <t>Yearly / Monthly Adjustment</t>
        </is>
      </c>
      <c r="F24" s="63" t="n">
        <v>3.545</v>
      </c>
      <c r="G24" s="64" t="n">
        <v>0.295</v>
      </c>
      <c r="H24" s="63" t="n">
        <v>3.545</v>
      </c>
      <c r="I24" s="98" t="inlineStr">
        <is>
          <t>Fair price per square foot if the college adds new rooms or temporarily closes a building</t>
        </is>
      </c>
    </row>
    <row r="25" ht="28" customHeight="1">
      <c r="A25" s="66" t="inlineStr">
        <is>
          <t>SCHEDULED BASE ANNUAL TOTAL (LINES 41 + 42)</t>
        </is>
      </c>
      <c r="B25" s="94" t="n"/>
      <c r="C25" s="94" t="n"/>
      <c r="D25" s="94" t="n"/>
      <c r="E25" s="95" t="n"/>
      <c r="F25" s="82" t="inlineStr">
        <is>
          <t>12 Months</t>
        </is>
      </c>
      <c r="G25" s="68">
        <f>G17+G18</f>
        <v/>
      </c>
      <c r="H25" s="68">
        <f>H17+H18</f>
        <v/>
      </c>
      <c r="I25" s="100" t="inlineStr">
        <is>
          <t>Complete cleaning service, heavy floor machines, and full team to keep campus clean and spotless.</t>
        </is>
      </c>
    </row>
    <row r="26" ht="30" customHeight="1">
      <c r="A26" s="69" t="inlineStr">
        <is>
          <t>SCHEDULED BASE MONTHLY BILLING (LINES 41 + 42)</t>
        </is>
      </c>
      <c r="B26" s="96" t="n"/>
      <c r="C26" s="96" t="n"/>
      <c r="D26" s="96" t="n"/>
      <c r="E26" s="97" t="n"/>
      <c r="F26" s="88" t="inlineStr">
        <is>
          <t>Per Month</t>
        </is>
      </c>
      <c r="G26" s="71">
        <f>G17+G18</f>
        <v/>
      </c>
      <c r="H26" s="71">
        <f>(G17+G18)*12</f>
        <v/>
      </c>
      <c r="I26" s="101" t="inlineStr">
        <is>
          <t>100% Backed by fingerprint clock records and police desk sign-in logbook</t>
        </is>
      </c>
    </row>
    <row r="27" ht="26" customHeight="1">
      <c r="A27" s="57" t="inlineStr">
        <is>
          <t>2.0 WORK SCHEDULE &amp; HOURLY PAY (BY SHIFT AND JOB TITLE)</t>
        </is>
      </c>
    </row>
    <row r="28" ht="52" customHeight="1">
      <c r="A28" s="93" t="inlineStr">
        <is>
          <t>Wages &amp; Floor Care Plan:
• Competitive Hourly Wages: HWB pays $17.50 for Cleaners, $19.50 for Floor Techs, and $23.00 for Supervisors to eliminate turnover and keep experienced, background-checked staff on campus every day.
• 4 Dedicated Floor Technicians: 4 certified technicians cover all 7 nights (2 full-time weekday technicians at 40 hours each + 2 weekend technicians at 16 hours each), ensuring exactly 2 technicians operate heavy floor scrubbers every single night of the week with zero overtime.</t>
        </is>
      </c>
    </row>
    <row r="29" ht="10" customHeight="1"/>
    <row r="30" ht="28" customHeight="1">
      <c r="A30" s="59" t="inlineStr">
        <is>
          <t>Shift &amp; Work Days</t>
        </is>
      </c>
      <c r="B30" s="59" t="inlineStr">
        <is>
          <t>Job Title</t>
        </is>
      </c>
      <c r="C30" s="59" t="inlineStr">
        <is>
          <t>Campus Building Duties</t>
        </is>
      </c>
      <c r="D30" s="59" t="inlineStr">
        <is>
          <t>Working Hours</t>
        </is>
      </c>
      <c r="E30" s="59" t="inlineStr">
        <is>
          <t>Workers on Duty</t>
        </is>
      </c>
      <c r="F30" s="59" t="inlineStr">
        <is>
          <t>Weekly Hours</t>
        </is>
      </c>
      <c r="G30" s="59" t="inlineStr">
        <is>
          <t>Base Hourly Pay</t>
        </is>
      </c>
      <c r="H30" s="59" t="inlineStr">
        <is>
          <t>With Taxes &amp; Ins. (+20%)</t>
        </is>
      </c>
      <c r="I30" s="59" t="inlineStr">
        <is>
          <t>Weekly Base Pay ($)</t>
        </is>
      </c>
    </row>
    <row r="31" ht="34" customHeight="1">
      <c r="A31" s="122" t="inlineStr">
        <is>
          <t>Weekday Daytime
(Mon–Fri)
[SOW Day 6-Day]</t>
        </is>
      </c>
      <c r="B31" s="121" t="inlineStr">
        <is>
          <t>Day Shift Boss (Bilingual)</t>
        </is>
      </c>
      <c r="C31" s="98" t="inlineStr">
        <is>
          <t>Signs Police Desk Book / Campus Inspection &amp; Rover</t>
        </is>
      </c>
      <c r="D31" s="62" t="inlineStr">
        <is>
          <t>7:30 AM – 4:00 PM (M–F)</t>
        </is>
      </c>
      <c r="E31" s="62" t="inlineStr">
        <is>
          <t>1 Supervisor</t>
        </is>
      </c>
      <c r="F31" s="73" t="n">
        <v>40</v>
      </c>
      <c r="G31" s="63" t="n">
        <v>23</v>
      </c>
      <c r="H31" s="63" t="n">
        <v>27.6</v>
      </c>
      <c r="I31" s="63" t="n">
        <v>920</v>
      </c>
    </row>
    <row r="32" ht="34" customHeight="1">
      <c r="A32" s="142" t="n"/>
      <c r="B32" s="121" t="inlineStr">
        <is>
          <t>Day Porter 1</t>
        </is>
      </c>
      <c r="C32" s="98" t="inlineStr">
        <is>
          <t>Founders Hall (Main Classrooms &amp; Restrooms)</t>
        </is>
      </c>
      <c r="D32" s="62" t="inlineStr">
        <is>
          <t>8:00 AM – 4:30 PM (M–F)</t>
        </is>
      </c>
      <c r="E32" s="62" t="inlineStr">
        <is>
          <t>1 Day Porter</t>
        </is>
      </c>
      <c r="F32" s="73" t="n">
        <v>40</v>
      </c>
      <c r="G32" s="63" t="n">
        <v>17.5</v>
      </c>
      <c r="H32" s="63" t="n">
        <v>21</v>
      </c>
      <c r="I32" s="63" t="n">
        <v>700</v>
      </c>
    </row>
    <row r="33" ht="34" customHeight="1">
      <c r="A33" s="142" t="n"/>
      <c r="B33" s="121" t="inlineStr">
        <is>
          <t>Day Porter 2</t>
        </is>
      </c>
      <c r="C33" s="98" t="inlineStr">
        <is>
          <t>University Hall &amp; Main Walkway Corridor</t>
        </is>
      </c>
      <c r="D33" s="62" t="inlineStr">
        <is>
          <t>8:00 AM – 4:30 PM (M–F)</t>
        </is>
      </c>
      <c r="E33" s="62" t="inlineStr">
        <is>
          <t>1 Day Porter</t>
        </is>
      </c>
      <c r="F33" s="73" t="n">
        <v>40</v>
      </c>
      <c r="G33" s="63" t="n">
        <v>17.5</v>
      </c>
      <c r="H33" s="63" t="n">
        <v>21</v>
      </c>
      <c r="I33" s="63" t="n">
        <v>700</v>
      </c>
    </row>
    <row r="34" ht="34" customHeight="1">
      <c r="A34" s="142" t="n"/>
      <c r="B34" s="121" t="inlineStr">
        <is>
          <t>Day Porter 3</t>
        </is>
      </c>
      <c r="C34" s="98" t="inlineStr">
        <is>
          <t>Heritage Hall &amp; Student Center Cafeteria</t>
        </is>
      </c>
      <c r="D34" s="62" t="inlineStr">
        <is>
          <t>8:00 AM – 4:30 PM (M–F)</t>
        </is>
      </c>
      <c r="E34" s="62" t="inlineStr">
        <is>
          <t>1 Day Porter</t>
        </is>
      </c>
      <c r="F34" s="73" t="n">
        <v>40</v>
      </c>
      <c r="G34" s="63" t="n">
        <v>17.5</v>
      </c>
      <c r="H34" s="63" t="n">
        <v>21</v>
      </c>
      <c r="I34" s="63" t="n">
        <v>700</v>
      </c>
    </row>
    <row r="35" ht="34" customHeight="1">
      <c r="A35" s="143" t="n"/>
      <c r="B35" s="121" t="inlineStr">
        <is>
          <t>Day Porter 4</t>
        </is>
      </c>
      <c r="C35" s="98" t="inlineStr">
        <is>
          <t>IT Center (3 Floors), Lawler Hall &amp; Parking Lobbies</t>
        </is>
      </c>
      <c r="D35" s="62" t="inlineStr">
        <is>
          <t>8:00 AM – 4:30 PM (M–F)</t>
        </is>
      </c>
      <c r="E35" s="62" t="inlineStr">
        <is>
          <t>1 Day Porter</t>
        </is>
      </c>
      <c r="F35" s="73" t="n">
        <v>40</v>
      </c>
      <c r="G35" s="63" t="n">
        <v>17.5</v>
      </c>
      <c r="H35" s="63" t="n">
        <v>21</v>
      </c>
      <c r="I35" s="63" t="n">
        <v>700</v>
      </c>
    </row>
    <row r="36" ht="34" customHeight="1">
      <c r="A36" s="122" t="inlineStr">
        <is>
          <t>Weekday Night
(Mon–Fri)
[SOW Night 7-Day]</t>
        </is>
      </c>
      <c r="B36" s="121" t="inlineStr">
        <is>
          <t>Weekday Night Boss (Bilingual)</t>
        </is>
      </c>
      <c r="C36" s="98" t="inlineStr">
        <is>
          <t>Night Leader &amp; Shift Commander (All 10 Buildings)</t>
        </is>
      </c>
      <c r="D36" s="62" t="inlineStr">
        <is>
          <t>10:00 PM – 6:30 AM (M–F)</t>
        </is>
      </c>
      <c r="E36" s="62" t="inlineStr">
        <is>
          <t>1 Supervisor / Night</t>
        </is>
      </c>
      <c r="F36" s="73" t="n">
        <v>40</v>
      </c>
      <c r="G36" s="63" t="n">
        <v>23</v>
      </c>
      <c r="H36" s="63" t="n">
        <v>27.6</v>
      </c>
      <c r="I36" s="63" t="n">
        <v>920</v>
      </c>
    </row>
    <row r="37" ht="34" customHeight="1">
      <c r="A37" s="142" t="n"/>
      <c r="B37" s="121" t="inlineStr">
        <is>
          <t>Weekday Floor Tech 1</t>
        </is>
      </c>
      <c r="C37" s="98" t="inlineStr">
        <is>
          <t>Riding Floor Scrubber Lead (Main Hallways &amp; Corridors)</t>
        </is>
      </c>
      <c r="D37" s="62" t="inlineStr">
        <is>
          <t>10:00 PM – 6:30 AM (M–F)</t>
        </is>
      </c>
      <c r="E37" s="62" t="inlineStr">
        <is>
          <t>1 Floor Tech / Night</t>
        </is>
      </c>
      <c r="F37" s="73" t="n">
        <v>40</v>
      </c>
      <c r="G37" s="63" t="n">
        <v>19.5</v>
      </c>
      <c r="H37" s="63" t="n">
        <v>23.4</v>
      </c>
      <c r="I37" s="63" t="n">
        <v>780</v>
      </c>
    </row>
    <row r="38" ht="34" customHeight="1">
      <c r="A38" s="142" t="n"/>
      <c r="B38" s="121" t="inlineStr">
        <is>
          <t>Weekday Floor Tech 2</t>
        </is>
      </c>
      <c r="C38" s="98" t="inlineStr">
        <is>
          <t>Walk-Behind Scrubber &amp; High-Speed Polisher</t>
        </is>
      </c>
      <c r="D38" s="62" t="inlineStr">
        <is>
          <t>10:00 PM – 6:30 AM (M–F)</t>
        </is>
      </c>
      <c r="E38" s="62" t="inlineStr">
        <is>
          <t>1 Floor Tech / Night</t>
        </is>
      </c>
      <c r="F38" s="73" t="n">
        <v>40</v>
      </c>
      <c r="G38" s="63" t="n">
        <v>19.5</v>
      </c>
      <c r="H38" s="63" t="n">
        <v>23.4</v>
      </c>
      <c r="I38" s="63" t="n">
        <v>780</v>
      </c>
    </row>
    <row r="39" ht="34" customHeight="1">
      <c r="A39" s="143" t="n"/>
      <c r="B39" s="121" t="inlineStr">
        <is>
          <t>Weekday Night Cleaners (13 Cleaners)</t>
        </is>
      </c>
      <c r="C39" s="98" t="inlineStr">
        <is>
          <t>Classrooms, Restrooms, Offices, Desks &amp; Trash Reset</t>
        </is>
      </c>
      <c r="D39" s="62" t="inlineStr">
        <is>
          <t>10:00 PM – 6:30 AM (M–F)</t>
        </is>
      </c>
      <c r="E39" s="62" t="inlineStr">
        <is>
          <t>13 Cleaners / Night</t>
        </is>
      </c>
      <c r="F39" s="73" t="n">
        <v>520</v>
      </c>
      <c r="G39" s="63" t="n">
        <v>17.5</v>
      </c>
      <c r="H39" s="63" t="n">
        <v>21</v>
      </c>
      <c r="I39" s="63" t="n">
        <v>9100</v>
      </c>
    </row>
    <row r="40" ht="34" customHeight="1">
      <c r="A40" s="122" t="inlineStr">
        <is>
          <t>Saturday Daytime
(Saturday)
[SOW Day 6-Day]</t>
        </is>
      </c>
      <c r="B40" s="121" t="inlineStr">
        <is>
          <t>Saturday Day Boss (Lead Supervisor)</t>
        </is>
      </c>
      <c r="C40" s="98" t="inlineStr">
        <is>
          <t>English-Speaking Lead Supervisor (Campus Events)</t>
        </is>
      </c>
      <c r="D40" s="62" t="inlineStr">
        <is>
          <t>8:00 AM – 4:30 PM (Sat)</t>
        </is>
      </c>
      <c r="E40" s="62" t="inlineStr">
        <is>
          <t>1 Supervisor</t>
        </is>
      </c>
      <c r="F40" s="73" t="n">
        <v>8</v>
      </c>
      <c r="G40" s="63" t="n">
        <v>23</v>
      </c>
      <c r="H40" s="63" t="n">
        <v>27.6</v>
      </c>
      <c r="I40" s="63" t="n">
        <v>184</v>
      </c>
    </row>
    <row r="41" ht="34" customHeight="1">
      <c r="A41" s="142" t="n"/>
      <c r="B41" s="121" t="inlineStr">
        <is>
          <t>Saturday Day Porter 1</t>
        </is>
      </c>
      <c r="C41" s="98" t="inlineStr">
        <is>
          <t>Classrooms, Science Labs &amp; Library</t>
        </is>
      </c>
      <c r="D41" s="62" t="inlineStr">
        <is>
          <t>8:00 AM – 4:30 PM (Sat)</t>
        </is>
      </c>
      <c r="E41" s="62" t="inlineStr">
        <is>
          <t>1 Day Porter</t>
        </is>
      </c>
      <c r="F41" s="73" t="n">
        <v>8</v>
      </c>
      <c r="G41" s="63" t="n">
        <v>17.5</v>
      </c>
      <c r="H41" s="63" t="n">
        <v>21</v>
      </c>
      <c r="I41" s="63" t="n">
        <v>140</v>
      </c>
    </row>
    <row r="42" ht="34" customHeight="1">
      <c r="A42" s="143" t="n"/>
      <c r="B42" s="121" t="inlineStr">
        <is>
          <t>Saturday Day Porter 2</t>
        </is>
      </c>
      <c r="C42" s="98" t="inlineStr">
        <is>
          <t>Cafeteria, Gymnasium &amp; Student Center</t>
        </is>
      </c>
      <c r="D42" s="62" t="inlineStr">
        <is>
          <t>8:00 AM – 4:30 PM (Sat)</t>
        </is>
      </c>
      <c r="E42" s="62" t="inlineStr">
        <is>
          <t>1 Day Porter</t>
        </is>
      </c>
      <c r="F42" s="73" t="n">
        <v>8</v>
      </c>
      <c r="G42" s="63" t="n">
        <v>17.5</v>
      </c>
      <c r="H42" s="63" t="n">
        <v>21</v>
      </c>
      <c r="I42" s="63" t="n">
        <v>140</v>
      </c>
    </row>
    <row r="43" ht="34" customHeight="1">
      <c r="A43" s="122" t="inlineStr">
        <is>
          <t>Weekend Night
(Sat–Sun)
[SOW Night 7-Day]</t>
        </is>
      </c>
      <c r="B43" s="121" t="inlineStr">
        <is>
          <t>Weekend Night Boss (Bilingual)</t>
        </is>
      </c>
      <c r="C43" s="98" t="inlineStr">
        <is>
          <t>Weekend Night Leader &amp; Shift Commander</t>
        </is>
      </c>
      <c r="D43" s="62" t="inlineStr">
        <is>
          <t>10:00 PM – 6:30 AM (Sat–Sun)</t>
        </is>
      </c>
      <c r="E43" s="62" t="inlineStr">
        <is>
          <t>1 Supervisor / Night</t>
        </is>
      </c>
      <c r="F43" s="73" t="n">
        <v>16</v>
      </c>
      <c r="G43" s="63" t="n">
        <v>23</v>
      </c>
      <c r="H43" s="63" t="n">
        <v>27.6</v>
      </c>
      <c r="I43" s="63" t="n">
        <v>368</v>
      </c>
    </row>
    <row r="44" ht="34" customHeight="1">
      <c r="A44" s="142" t="n"/>
      <c r="B44" s="121" t="inlineStr">
        <is>
          <t>Weekend Floor Tech 1</t>
        </is>
      </c>
      <c r="C44" s="98" t="inlineStr">
        <is>
          <t>Riding Floor Scrubber Lead (Main Spine Reset)</t>
        </is>
      </c>
      <c r="D44" s="62" t="inlineStr">
        <is>
          <t>10:00 PM – 6:30 AM (Sat–Sun)</t>
        </is>
      </c>
      <c r="E44" s="62" t="inlineStr">
        <is>
          <t>1 Floor Tech / Night</t>
        </is>
      </c>
      <c r="F44" s="73" t="n">
        <v>16</v>
      </c>
      <c r="G44" s="63" t="n">
        <v>19.5</v>
      </c>
      <c r="H44" s="63" t="n">
        <v>23.4</v>
      </c>
      <c r="I44" s="63" t="n">
        <v>312</v>
      </c>
    </row>
    <row r="45" ht="34" customHeight="1">
      <c r="A45" s="142" t="n"/>
      <c r="B45" s="121" t="inlineStr">
        <is>
          <t>Weekend Floor Tech 2</t>
        </is>
      </c>
      <c r="C45" s="98" t="inlineStr">
        <is>
          <t>Deep Carpet Wash &amp; Stone Floor Polish</t>
        </is>
      </c>
      <c r="D45" s="62" t="inlineStr">
        <is>
          <t>10:00 PM – 6:30 AM (Sat–Sun)</t>
        </is>
      </c>
      <c r="E45" s="62" t="inlineStr">
        <is>
          <t>1 Floor Tech / Night</t>
        </is>
      </c>
      <c r="F45" s="73" t="n">
        <v>16</v>
      </c>
      <c r="G45" s="63" t="n">
        <v>19.5</v>
      </c>
      <c r="H45" s="63" t="n">
        <v>23.4</v>
      </c>
      <c r="I45" s="63" t="n">
        <v>312</v>
      </c>
    </row>
    <row r="46" ht="34" customHeight="1">
      <c r="A46" s="143" t="n"/>
      <c r="B46" s="121" t="inlineStr">
        <is>
          <t>Weekend Night Cleaners (13 Cleaners)</t>
        </is>
      </c>
      <c r="C46" s="98" t="inlineStr">
        <is>
          <t>Deep Restroom Disinfection &amp; Full Campus Reset</t>
        </is>
      </c>
      <c r="D46" s="62" t="inlineStr">
        <is>
          <t>10:00 PM – 6:30 AM (Sat–Sun)</t>
        </is>
      </c>
      <c r="E46" s="62" t="inlineStr">
        <is>
          <t>13 Cleaners / Night</t>
        </is>
      </c>
      <c r="F46" s="73" t="n">
        <v>208</v>
      </c>
      <c r="G46" s="63" t="n">
        <v>17.5</v>
      </c>
      <c r="H46" s="63" t="n">
        <v>21</v>
      </c>
      <c r="I46" s="63" t="n">
        <v>3640</v>
      </c>
    </row>
    <row r="47" ht="30" customHeight="1">
      <c r="A47" s="69" t="inlineStr">
        <is>
          <t>TOTAL CAMPUS WORKFORCE (28 Full-Time Equivalent Workers | 4 Floor Techs)</t>
        </is>
      </c>
      <c r="B47" s="96" t="n"/>
      <c r="C47" s="96" t="n"/>
      <c r="D47" s="97" t="n"/>
      <c r="E47" s="88" t="inlineStr">
        <is>
          <t>140 Weekly Work Shifts</t>
        </is>
      </c>
      <c r="F47" s="123">
        <f>SUM(F31:F46)</f>
        <v/>
      </c>
      <c r="G47" s="124" t="inlineStr">
        <is>
          <t>Average Pay: $18.21</t>
        </is>
      </c>
      <c r="H47" s="124" t="inlineStr">
        <is>
          <t>With Taxes: $21.85</t>
        </is>
      </c>
      <c r="I47" s="71">
        <f>SUM(I31:I46)</f>
        <v/>
      </c>
    </row>
    <row r="48" ht="10" customHeight="1"/>
    <row r="49" ht="40" customHeight="1">
      <c r="A49" s="79" t="inlineStr">
        <is>
          <t>⚡ ZERO-OVERTIME COMMITMENT: Our schedule spreads 140 weekly shifts across 29 to 32 trained workers capped at 32 to 40 regular hours per week (including 4 floor specialists). Bosanna is never billed overtime charges ($0.00 overtime), workers stay fresh, and backup cleaners step in when anyone is sick.</t>
        </is>
      </c>
      <c r="B49" s="50" t="n"/>
      <c r="C49" s="50" t="n"/>
      <c r="D49" s="50" t="n"/>
      <c r="E49" s="50" t="n"/>
      <c r="F49" s="50" t="n"/>
      <c r="G49" s="50" t="n"/>
      <c r="H49" s="50" t="n"/>
      <c r="I49" s="49" t="n"/>
    </row>
    <row r="50" ht="26" customHeight="1">
      <c r="A50" s="57" t="inlineStr">
        <is>
          <t>3.0 RESTROOM SUPPLIES &amp; PAPER PRODUCTS BREAKDOWN (RFP LINE 42)</t>
        </is>
      </c>
    </row>
    <row r="51" ht="56" customHeight="1">
      <c r="A51" s="93" t="inlineStr">
        <is>
          <t>Restroom Supplies &amp; Daily Refill Plan:
• Complete Campus Supplies: We provide all paper towels, toilet paper, hand soap, trash bags, and batteries for all 10 campus buildings at one flat price ($8,332.50/mo | $99,990.00/yr).
• Perfect Fit &amp; Daily Refills: All paper towels, toilet paper, and soap fit the college's existing dispensers. Our team inspects and restocks every restroom daily so supplies never run out.</t>
        </is>
      </c>
    </row>
    <row r="52" ht="10" customHeight="1"/>
    <row r="53" ht="28" customHeight="1">
      <c r="A53" s="59" t="inlineStr">
        <is>
          <t>Supply Category</t>
        </is>
      </c>
      <c r="B53" s="59" t="inlineStr">
        <is>
          <t>Item Name &amp; Type</t>
        </is>
      </c>
      <c r="C53" s="59" t="inlineStr">
        <is>
          <t>Where It Is Used on Campus</t>
        </is>
      </c>
      <c r="D53" s="59" t="inlineStr">
        <is>
          <t>Case Size / Box Count</t>
        </is>
      </c>
      <c r="E53" s="59" t="inlineStr">
        <is>
          <t>Cases Per Year</t>
        </is>
      </c>
      <c r="F53" s="59" t="inlineStr">
        <is>
          <t>Cases Per Month</t>
        </is>
      </c>
      <c r="G53" s="59" t="inlineStr">
        <is>
          <t>Price Per Case ($)</t>
        </is>
      </c>
      <c r="H53" s="59" t="inlineStr">
        <is>
          <t>Monthly Total ($)</t>
        </is>
      </c>
      <c r="I53" s="59" t="inlineStr">
        <is>
          <t>Yearly Total ($)</t>
        </is>
      </c>
    </row>
    <row r="54" ht="34" customHeight="1">
      <c r="A54" s="122" t="inlineStr">
        <is>
          <t>Paper Towels
&amp; Wipes
[T&amp;C Supplies]</t>
        </is>
      </c>
      <c r="B54" s="121" t="inlineStr">
        <is>
          <t>Jumbo Roll Paper Towels 10"x800'</t>
        </is>
      </c>
      <c r="C54" s="98" t="inlineStr">
        <is>
          <t>Automatic Towel Dispensers (All Restrooms)</t>
        </is>
      </c>
      <c r="D54" s="99" t="inlineStr">
        <is>
          <t>6 Rolls/Case (4,800 ft)</t>
        </is>
      </c>
      <c r="E54" s="125" t="n">
        <v>780</v>
      </c>
      <c r="F54" s="126" t="n">
        <v>65</v>
      </c>
      <c r="G54" s="63" t="n">
        <v>28.05</v>
      </c>
      <c r="H54" s="63" t="n">
        <v>1823.25</v>
      </c>
      <c r="I54" s="63" t="n">
        <v>21879</v>
      </c>
    </row>
    <row r="55" ht="34" customHeight="1">
      <c r="A55" s="142" t="n"/>
      <c r="B55" s="121" t="inlineStr">
        <is>
          <t>Folded Paper Hand Towels</t>
        </is>
      </c>
      <c r="C55" s="98" t="inlineStr">
        <is>
          <t>Kitchens, Breakrooms &amp; Staff Lounges</t>
        </is>
      </c>
      <c r="D55" s="99" t="inlineStr">
        <is>
          <t>16 Packs/Case (4,000 Towels)</t>
        </is>
      </c>
      <c r="E55" s="125" t="n">
        <v>240</v>
      </c>
      <c r="F55" s="126" t="n">
        <v>20</v>
      </c>
      <c r="G55" s="63" t="n">
        <v>23.65</v>
      </c>
      <c r="H55" s="63" t="n">
        <v>473</v>
      </c>
      <c r="I55" s="63" t="n">
        <v>5676</v>
      </c>
    </row>
    <row r="56" ht="34" customHeight="1">
      <c r="A56" s="143" t="n"/>
      <c r="B56" s="121" t="inlineStr">
        <is>
          <t>Heavy-Duty Cleaning Wipes</t>
        </is>
      </c>
      <c r="C56" s="98" t="inlineStr">
        <is>
          <t>Science Labs, Art Studios &amp; Health Clinics</t>
        </is>
      </c>
      <c r="D56" s="99" t="inlineStr">
        <is>
          <t>16 Packs/Case (4,000 Wipes)</t>
        </is>
      </c>
      <c r="E56" s="125" t="n">
        <v>360</v>
      </c>
      <c r="F56" s="126" t="n">
        <v>30</v>
      </c>
      <c r="G56" s="63" t="n">
        <v>25.85</v>
      </c>
      <c r="H56" s="63" t="n">
        <v>775.5</v>
      </c>
      <c r="I56" s="63" t="n">
        <v>9306</v>
      </c>
    </row>
    <row r="57" ht="34" customHeight="1">
      <c r="A57" s="122" t="inlineStr">
        <is>
          <t>Toilet Paper
&amp; Covers
[T&amp;C Supplies]</t>
        </is>
      </c>
      <c r="B57" s="121" t="inlineStr">
        <is>
          <t>Jumbo Toilet Paper Rolls 9" (2-Ply)</t>
        </is>
      </c>
      <c r="C57" s="98" t="inlineStr">
        <is>
          <t>Main Student Restroom Stalls (9" Dispensers)</t>
        </is>
      </c>
      <c r="D57" s="99" t="inlineStr">
        <is>
          <t>12 Rolls/Case (2,400 m)</t>
        </is>
      </c>
      <c r="E57" s="125" t="n">
        <v>540</v>
      </c>
      <c r="F57" s="126" t="n">
        <v>45</v>
      </c>
      <c r="G57" s="63" t="n">
        <v>26.95</v>
      </c>
      <c r="H57" s="63" t="n">
        <v>1212.75</v>
      </c>
      <c r="I57" s="63" t="n">
        <v>14553</v>
      </c>
    </row>
    <row r="58" ht="34" customHeight="1">
      <c r="A58" s="142" t="n"/>
      <c r="B58" s="121" t="inlineStr">
        <is>
          <t>Standard Toilet Paper Rolls (2-Ply)</t>
        </is>
      </c>
      <c r="C58" s="98" t="inlineStr">
        <is>
          <t>Faculty, Staff &amp; Single Restrooms</t>
        </is>
      </c>
      <c r="D58" s="99" t="inlineStr">
        <is>
          <t>80 Rolls/Case (40,000 Sheets)</t>
        </is>
      </c>
      <c r="E58" s="125" t="n">
        <v>540</v>
      </c>
      <c r="F58" s="126" t="n">
        <v>45</v>
      </c>
      <c r="G58" s="63" t="n">
        <v>29.15</v>
      </c>
      <c r="H58" s="63" t="n">
        <v>1311.75</v>
      </c>
      <c r="I58" s="63" t="n">
        <v>15741</v>
      </c>
    </row>
    <row r="59" ht="34" customHeight="1">
      <c r="A59" s="143" t="n"/>
      <c r="B59" s="121" t="inlineStr">
        <is>
          <t>Toilet Seat Covers (Half-Fold)</t>
        </is>
      </c>
      <c r="C59" s="98" t="inlineStr">
        <is>
          <t>Restroom Stall Wall Dispensers</t>
        </is>
      </c>
      <c r="D59" s="99" t="inlineStr">
        <is>
          <t>20 Packs/Case (5,000 Covers)</t>
        </is>
      </c>
      <c r="E59" s="125" t="n">
        <v>60</v>
      </c>
      <c r="F59" s="126" t="n">
        <v>5</v>
      </c>
      <c r="G59" s="63" t="n">
        <v>19.8</v>
      </c>
      <c r="H59" s="63" t="n">
        <v>99</v>
      </c>
      <c r="I59" s="63" t="n">
        <v>1188</v>
      </c>
    </row>
    <row r="60" ht="34" customHeight="1">
      <c r="A60" s="122" t="inlineStr">
        <is>
          <t>Trash Bags
&amp; Liners
[SOW Waste Bins]</t>
        </is>
      </c>
      <c r="B60" s="121" t="inlineStr">
        <is>
          <t>55-Gallon Heavy Trash Bags (40"x48")</t>
        </is>
      </c>
      <c r="C60" s="98" t="inlineStr">
        <is>
          <t>Large Campus Tilt Trucks &amp; Outside Trash Cans</t>
        </is>
      </c>
      <c r="D60" s="99" t="inlineStr">
        <is>
          <t>250 Bags/Case</t>
        </is>
      </c>
      <c r="E60" s="125" t="n">
        <v>264</v>
      </c>
      <c r="F60" s="126" t="n">
        <v>22</v>
      </c>
      <c r="G60" s="63" t="n">
        <v>26.95</v>
      </c>
      <c r="H60" s="63" t="n">
        <v>592.9</v>
      </c>
      <c r="I60" s="63" t="n">
        <v>7114.8</v>
      </c>
    </row>
    <row r="61" ht="34" customHeight="1">
      <c r="A61" s="142" t="n"/>
      <c r="B61" s="121" t="inlineStr">
        <is>
          <t>44-Gallon Heavy Trash Bags (37"x46")</t>
        </is>
      </c>
      <c r="C61" s="98" t="inlineStr">
        <is>
          <t>Main Hallways, Lobbies &amp; Large Trash Cans</t>
        </is>
      </c>
      <c r="D61" s="99" t="inlineStr">
        <is>
          <t>250 Bags/Case</t>
        </is>
      </c>
      <c r="E61" s="125" t="n">
        <v>264</v>
      </c>
      <c r="F61" s="126" t="n">
        <v>22</v>
      </c>
      <c r="G61" s="63" t="n">
        <v>24.2</v>
      </c>
      <c r="H61" s="63" t="n">
        <v>532.4</v>
      </c>
      <c r="I61" s="63" t="n">
        <v>6388.8</v>
      </c>
    </row>
    <row r="62" ht="34" customHeight="1">
      <c r="A62" s="142" t="n"/>
      <c r="B62" s="121" t="inlineStr">
        <is>
          <t>30-Gallon Trash Bags (30"x37")</t>
        </is>
      </c>
      <c r="C62" s="98" t="inlineStr">
        <is>
          <t>Classrooms &amp; Restroom Trash Cans</t>
        </is>
      </c>
      <c r="D62" s="99" t="inlineStr">
        <is>
          <t>500 Bags/Case</t>
        </is>
      </c>
      <c r="E62" s="125" t="n">
        <v>264</v>
      </c>
      <c r="F62" s="126" t="n">
        <v>22</v>
      </c>
      <c r="G62" s="63" t="n">
        <v>21.45</v>
      </c>
      <c r="H62" s="63" t="n">
        <v>471.9</v>
      </c>
      <c r="I62" s="63" t="n">
        <v>5662.8</v>
      </c>
    </row>
    <row r="63" ht="34" customHeight="1">
      <c r="A63" s="142" t="n"/>
      <c r="B63" s="121" t="inlineStr">
        <is>
          <t>10-Gallon Desk Trash Bags (24"x24")</t>
        </is>
      </c>
      <c r="C63" s="98" t="inlineStr">
        <is>
          <t>Faculty Offices &amp; Staff Desk Baskets</t>
        </is>
      </c>
      <c r="D63" s="99" t="inlineStr">
        <is>
          <t>1,000 Bags/Case</t>
        </is>
      </c>
      <c r="E63" s="125" t="n">
        <v>264</v>
      </c>
      <c r="F63" s="126" t="n">
        <v>22</v>
      </c>
      <c r="G63" s="63" t="n">
        <v>15.95</v>
      </c>
      <c r="H63" s="63" t="n">
        <v>350.9</v>
      </c>
      <c r="I63" s="63" t="n">
        <v>4210.8</v>
      </c>
    </row>
    <row r="64" ht="34" customHeight="1">
      <c r="A64" s="143" t="n"/>
      <c r="B64" s="121" t="inlineStr">
        <is>
          <t>Waxed Restroom Stall Disposal Bags</t>
        </is>
      </c>
      <c r="C64" s="98" t="inlineStr">
        <is>
          <t>Women's Restroom Stall Disposal Bins</t>
        </is>
      </c>
      <c r="D64" s="99" t="inlineStr">
        <is>
          <t>500 Liners/Case</t>
        </is>
      </c>
      <c r="E64" s="125" t="n">
        <v>24</v>
      </c>
      <c r="F64" s="126" t="n">
        <v>2</v>
      </c>
      <c r="G64" s="63" t="n">
        <v>19.25</v>
      </c>
      <c r="H64" s="63" t="n">
        <v>38.5</v>
      </c>
      <c r="I64" s="63" t="n">
        <v>462</v>
      </c>
    </row>
    <row r="65" ht="34" customHeight="1">
      <c r="A65" s="122" t="inlineStr">
        <is>
          <t>Soap, Cleaners
&amp; Batteries
[T&amp;C Supplies]</t>
        </is>
      </c>
      <c r="B65" s="121" t="inlineStr">
        <is>
          <t>Foaming Hand Soap Refills (1,000 ml)</t>
        </is>
      </c>
      <c r="C65" s="98" t="inlineStr">
        <is>
          <t>Automatic Restroom Soap Dispensers</t>
        </is>
      </c>
      <c r="D65" s="99" t="inlineStr">
        <is>
          <t>4 Bottles/Case (4,000 ml)</t>
        </is>
      </c>
      <c r="E65" s="125" t="n">
        <v>96</v>
      </c>
      <c r="F65" s="126" t="n">
        <v>8</v>
      </c>
      <c r="G65" s="63" t="n">
        <v>27.5</v>
      </c>
      <c r="H65" s="63" t="n">
        <v>220</v>
      </c>
      <c r="I65" s="63" t="n">
        <v>2640</v>
      </c>
    </row>
    <row r="66" ht="34" customHeight="1">
      <c r="A66" s="142" t="n"/>
      <c r="B66" s="121" t="inlineStr">
        <is>
          <t>Urinal Splash Screens &amp; Fresheners</t>
        </is>
      </c>
      <c r="C66" s="98" t="inlineStr">
        <is>
          <t>Men's Restroom Urinals</t>
        </is>
      </c>
      <c r="D66" s="99" t="inlineStr">
        <is>
          <t>12 Screens/Box</t>
        </is>
      </c>
      <c r="E66" s="125" t="n">
        <v>144</v>
      </c>
      <c r="F66" s="126" t="n">
        <v>12</v>
      </c>
      <c r="G66" s="63" t="n">
        <v>9.35</v>
      </c>
      <c r="H66" s="63" t="n">
        <v>112.2</v>
      </c>
      <c r="I66" s="63" t="n">
        <v>1346.4</v>
      </c>
    </row>
    <row r="67" ht="34" customHeight="1">
      <c r="A67" s="142" t="n"/>
      <c r="B67" s="121" t="inlineStr">
        <is>
          <t>Automatic Air Freshener Cans</t>
        </is>
      </c>
      <c r="C67" s="98" t="inlineStr">
        <is>
          <t>Wall Air Freshener Dispensers (Restrooms)</t>
        </is>
      </c>
      <c r="D67" s="99" t="inlineStr">
        <is>
          <t>12 Cans/Case (4 Packs of 3)</t>
        </is>
      </c>
      <c r="E67" s="125" t="n">
        <v>120</v>
      </c>
      <c r="F67" s="126" t="n">
        <v>10</v>
      </c>
      <c r="G67" s="63" t="n">
        <v>23.1</v>
      </c>
      <c r="H67" s="63" t="n">
        <v>231</v>
      </c>
      <c r="I67" s="63" t="n">
        <v>2772</v>
      </c>
    </row>
    <row r="68" ht="34" customHeight="1">
      <c r="A68" s="143" t="n"/>
      <c r="B68" s="121" t="inlineStr">
        <is>
          <t>Alkaline D-Batteries for Dispensers</t>
        </is>
      </c>
      <c r="C68" s="98" t="inlineStr">
        <is>
          <t>Automatic Towel &amp; Soap Dispensers</t>
        </is>
      </c>
      <c r="D68" s="99" t="inlineStr">
        <is>
          <t>12 Batteries/Box</t>
        </is>
      </c>
      <c r="E68" s="125" t="n">
        <v>60</v>
      </c>
      <c r="F68" s="126" t="n">
        <v>5</v>
      </c>
      <c r="G68" s="63" t="n">
        <v>17.49</v>
      </c>
      <c r="H68" s="63" t="n">
        <v>87.45</v>
      </c>
      <c r="I68" s="63" t="n">
        <v>1049.4</v>
      </c>
    </row>
    <row r="69" ht="30" customHeight="1">
      <c r="A69" s="69" t="inlineStr">
        <is>
          <t>TOTAL RESTROOM SUPPLIES: COMPLETE CAMPUS MONTHLY PACKAGE (RFP LINE 42)</t>
        </is>
      </c>
      <c r="B69" s="96" t="n"/>
      <c r="C69" s="96" t="n"/>
      <c r="D69" s="97" t="n"/>
      <c r="E69" s="127">
        <f>SUM(E54:E68)</f>
        <v/>
      </c>
      <c r="F69" s="128">
        <f>SUM(F54:F68)</f>
        <v/>
      </c>
      <c r="G69" s="88" t="inlineStr">
        <is>
          <t>Contract Price</t>
        </is>
      </c>
      <c r="H69" s="71">
        <f>SUM(H54:H68)</f>
        <v/>
      </c>
      <c r="I69" s="71">
        <f>SUM(I54:I68)</f>
        <v/>
      </c>
    </row>
    <row r="70" ht="10" customHeight="1"/>
    <row r="71" ht="40" customHeight="1">
      <c r="A71" s="79" t="inlineStr">
        <is>
          <t>📦 RESTROOM SUPPLY COMMITMENT: All paper towels, toilet paper, hand soap, trash bags, and batteries are provided for all 10 campus buildings under one fixed monthly price ($8,332.50/mo). Our cleaning team checks and refills every dispenser daily so the campus never runs out of supplies.</t>
        </is>
      </c>
      <c r="B71" s="50" t="n"/>
      <c r="C71" s="50" t="n"/>
      <c r="D71" s="50" t="n"/>
      <c r="E71" s="50" t="n"/>
      <c r="F71" s="50" t="n"/>
      <c r="G71" s="50" t="n"/>
      <c r="H71" s="50" t="n"/>
      <c r="I71" s="49" t="n"/>
    </row>
    <row r="72" ht="26" customHeight="1">
      <c r="A72" s="57" t="inlineStr">
        <is>
          <t>4.0 PROOF OF HOURS WORKED: FINGERPRINT TIME CLOCK &amp; POLICE LOGBOOK RECORDS</t>
        </is>
      </c>
    </row>
    <row r="73" ht="56" customHeight="1">
      <c r="A73" s="93" t="inlineStr">
        <is>
          <t>How We Track Daily Hours &amp; Keep Honest Records:
• Fingerprint Time Clock: Every cleaner scans their fingerprint in Building S when starting and finishing work. This proves exactly who is on campus and when they worked.
• Police Desk Sign-In: Cleaners also sign a paper logbook at the campus police desk each day. Officers see our team arrive and leave, giving the college clear, trusted proof of daily work.</t>
        </is>
      </c>
    </row>
    <row r="74" ht="10" customHeight="1"/>
    <row r="75" ht="28" customHeight="1">
      <c r="A75" s="59" t="inlineStr">
        <is>
          <t>Tracking Step</t>
        </is>
      </c>
      <c r="B75" s="59" t="inlineStr">
        <is>
          <t>How It Works</t>
        </is>
      </c>
      <c r="C75" s="59" t="inlineStr">
        <is>
          <t>Campus Location</t>
        </is>
      </c>
      <c r="D75" s="59" t="inlineStr">
        <is>
          <t>Work Hours &amp; Shift Times</t>
        </is>
      </c>
      <c r="E75" s="59" t="inlineStr">
        <is>
          <t>Who Is Involved</t>
        </is>
      </c>
      <c r="F75" s="59" t="inlineStr">
        <is>
          <t>Proof Record / Paperwork</t>
        </is>
      </c>
      <c r="G75" s="59" t="inlineStr">
        <is>
          <t>Contract Section &amp; Rule</t>
        </is>
      </c>
      <c r="H75" s="59" t="inlineStr">
        <is>
          <t>Who Checks It</t>
        </is>
      </c>
      <c r="I75" s="59" t="inlineStr">
        <is>
          <t>Why This Protects the College</t>
        </is>
      </c>
    </row>
    <row r="76" ht="34" customHeight="1">
      <c r="A76" s="122" t="inlineStr">
        <is>
          <t>1. Fingerprint Clock</t>
        </is>
      </c>
      <c r="B76" s="121" t="inlineStr">
        <is>
          <t>Cellular Fingerprint Time Clock</t>
        </is>
      </c>
      <c r="C76" s="98" t="inlineStr">
        <is>
          <t>Custodial Breakroom (Bldg S)</t>
        </is>
      </c>
      <c r="D76" s="99" t="inlineStr">
        <is>
          <t>10:00 PM &amp; 6:30 AM / 8:00 AM &amp; 4:30 PM</t>
        </is>
      </c>
      <c r="E76" s="99" t="inlineStr">
        <is>
          <t>All 28 Cleaners</t>
        </is>
      </c>
      <c r="F76" s="99" t="inlineStr">
        <is>
          <t>Digital Fingerprint Punch Record</t>
        </is>
      </c>
      <c r="G76" s="122" t="inlineStr">
        <is>
          <t>SOW § Biometric Clock</t>
        </is>
      </c>
      <c r="H76" s="99" t="inlineStr">
        <is>
          <t>Campus Police &amp; Facilities Team</t>
        </is>
      </c>
      <c r="I76" s="98" t="inlineStr">
        <is>
          <t>Cleaners scan in personally. No one can clock in for a friend, and every minute worked is saved accurately.</t>
        </is>
      </c>
    </row>
    <row r="77" ht="34" customHeight="1">
      <c r="A77" s="122" t="inlineStr">
        <is>
          <t>2. Police Desk Log</t>
        </is>
      </c>
      <c r="B77" s="121" t="inlineStr">
        <is>
          <t>Paper Sign-In Sheet at Police Desk</t>
        </is>
      </c>
      <c r="C77" s="98" t="inlineStr">
        <is>
          <t>Campus Police Desk (Bldg S)</t>
        </is>
      </c>
      <c r="D77" s="99" t="inlineStr">
        <is>
          <t>Start &amp; End of Every Shift</t>
        </is>
      </c>
      <c r="E77" s="99" t="inlineStr">
        <is>
          <t>Cleaners &amp; On-Duty Police Officers</t>
        </is>
      </c>
      <c r="F77" s="99" t="inlineStr">
        <is>
          <t>Signed Paper Sign-In Sheet</t>
        </is>
      </c>
      <c r="G77" s="122" t="inlineStr">
        <is>
          <t>T&amp;C § Police Desk Log</t>
        </is>
      </c>
      <c r="H77" s="99" t="inlineStr">
        <is>
          <t>Collin College Police Officers</t>
        </is>
      </c>
      <c r="I77" s="98" t="inlineStr">
        <is>
          <t>Campus police officers see each cleaner sign in and out, giving independent proof that our team was on campus.</t>
        </is>
      </c>
    </row>
    <row r="78" ht="34" customHeight="1">
      <c r="A78" s="122" t="inlineStr">
        <is>
          <t>3. Shift Supervisor</t>
        </is>
      </c>
      <c r="B78" s="121" t="inlineStr">
        <is>
          <t>Building Walks &amp; Key Checks</t>
        </is>
      </c>
      <c r="C78" s="98" t="inlineStr">
        <is>
          <t>All 10 Campus Buildings (478,418 SF)</t>
        </is>
      </c>
      <c r="D78" s="99" t="inlineStr">
        <is>
          <t>Continuous 8-Hour Shift Checks</t>
        </is>
      </c>
      <c r="E78" s="99" t="inlineStr">
        <is>
          <t>Full-Time Shift Supervisor</t>
        </is>
      </c>
      <c r="F78" s="99" t="inlineStr">
        <is>
          <t>Daily Cleaning Checklist</t>
        </is>
      </c>
      <c r="G78" s="122" t="inlineStr">
        <is>
          <t>SOW § Supervisor Walks</t>
        </is>
      </c>
      <c r="H78" s="99" t="inlineStr">
        <is>
          <t>Facilities Director</t>
        </is>
      </c>
      <c r="I78" s="98" t="inlineStr">
        <is>
          <t>Supervisors walk the campus to check cleaning quality, keep master keys safe, and fix any spills within 20 minutes.</t>
        </is>
      </c>
    </row>
    <row r="79" ht="34" customHeight="1">
      <c r="A79" s="122" t="inlineStr">
        <is>
          <t>4. Weekly Time Check</t>
        </is>
      </c>
      <c r="B79" s="121" t="inlineStr">
        <is>
          <t>Payroll &amp; Time Sheet Match</t>
        </is>
      </c>
      <c r="C79" s="98" t="inlineStr">
        <is>
          <t>HWB Central Office</t>
        </is>
      </c>
      <c r="D79" s="99" t="inlineStr">
        <is>
          <t>Weekly Payroll Review</t>
        </is>
      </c>
      <c r="E79" s="99" t="inlineStr">
        <is>
          <t>Payroll Manager</t>
        </is>
      </c>
      <c r="F79" s="99" t="inlineStr">
        <is>
          <t>Weekly Hours Report</t>
        </is>
      </c>
      <c r="G79" s="122" t="inlineStr">
        <is>
          <t>SOW § 1,120 Weekly Hours</t>
        </is>
      </c>
      <c r="H79" s="99" t="inlineStr">
        <is>
          <t>Bosanna &amp; College Leadership</t>
        </is>
      </c>
      <c r="I79" s="98" t="inlineStr">
        <is>
          <t>We match digital fingerprint logs with police sign-in sheets every week. All hours are kept to regular time with zero overtime costs.</t>
        </is>
      </c>
    </row>
    <row r="80" ht="34" customHeight="1">
      <c r="A80" s="122" t="inlineStr">
        <is>
          <t>5. Monthly Invoice Backup</t>
        </is>
      </c>
      <c r="B80" s="121" t="inlineStr">
        <is>
          <t>Printed Time Records with Bill</t>
        </is>
      </c>
      <c r="C80" s="98" t="inlineStr">
        <is>
          <t>Sent with Monthly Invoice</t>
        </is>
      </c>
      <c r="D80" s="99" t="inlineStr">
        <is>
          <t>Monthly Billing (Line 41)</t>
        </is>
      </c>
      <c r="E80" s="99" t="inlineStr">
        <is>
          <t>Account Director</t>
        </is>
      </c>
      <c r="F80" s="99" t="inlineStr">
        <is>
          <t>Monthly Signed Time Records</t>
        </is>
      </c>
      <c r="G80" s="122" t="inlineStr">
        <is>
          <t>T&amp;C § Monthly Invoices</t>
        </is>
      </c>
      <c r="H80" s="99" t="inlineStr">
        <is>
          <t>College Accounts Payable</t>
        </is>
      </c>
      <c r="I80" s="98" t="inlineStr">
        <is>
          <t>Every monthly bill includes printed proof of all hours worked, so the college can pay invoices with total confidence.</t>
        </is>
      </c>
    </row>
    <row r="81" ht="30" customHeight="1">
      <c r="A81" s="69" t="inlineStr">
        <is>
          <t>TOTAL VERIFIED HOURS: 100% OF 1,120.0 WEEKLY HOURS CONFIRMED BY DUAL RECORDS</t>
        </is>
      </c>
      <c r="B81" s="96" t="n"/>
      <c r="C81" s="96" t="n"/>
      <c r="D81" s="97" t="n"/>
      <c r="E81" s="88" t="inlineStr">
        <is>
          <t>28.0 Staff</t>
        </is>
      </c>
      <c r="F81" s="88" t="inlineStr">
        <is>
          <t>140 Weekly Shifts</t>
        </is>
      </c>
      <c r="G81" s="88" t="inlineStr">
        <is>
          <t>1,120.0 Hrs/Wk</t>
        </is>
      </c>
      <c r="H81" s="88" t="inlineStr">
        <is>
          <t>$0.00 Overtime</t>
        </is>
      </c>
      <c r="I81" s="101" t="inlineStr">
        <is>
          <t>Printed Time Records Included with Every Monthly Bill</t>
        </is>
      </c>
    </row>
    <row r="82" ht="10" customHeight="1"/>
    <row r="83" ht="40" customHeight="1">
      <c r="A83" s="79" t="inlineStr">
        <is>
          <t>🛡️ 100% VERIFIED HOURS PROMISE: All 1,120.0 weekly hours are confirmed with fingerprint time clocks and police desk sign-in sheets before any invoice is sent. This gives Collin College and Bosanna LLC clear, trusted records for every hour worked, with zero guesswork and zero surprise charges.</t>
        </is>
      </c>
      <c r="B83" s="50" t="n"/>
      <c r="C83" s="50" t="n"/>
      <c r="D83" s="50" t="n"/>
      <c r="E83" s="50" t="n"/>
      <c r="F83" s="50" t="n"/>
      <c r="G83" s="50" t="n"/>
      <c r="H83" s="50" t="n"/>
      <c r="I83" s="49" t="n"/>
    </row>
  </sheetData>
  <mergeCells count="56">
    <mergeCell ref="E12:F12"/>
    <mergeCell ref="A36:A39"/>
    <mergeCell ref="G10:I10"/>
    <mergeCell ref="A57:A59"/>
    <mergeCell ref="G6:I6"/>
    <mergeCell ref="A11:B11"/>
    <mergeCell ref="B6:E6"/>
    <mergeCell ref="A27:I27"/>
    <mergeCell ref="A81:D81"/>
    <mergeCell ref="A3:I3"/>
    <mergeCell ref="B5:E5"/>
    <mergeCell ref="A74:I74"/>
    <mergeCell ref="A50:I50"/>
    <mergeCell ref="A2:I2"/>
    <mergeCell ref="C10:D10"/>
    <mergeCell ref="B4:E4"/>
    <mergeCell ref="A65:A68"/>
    <mergeCell ref="G5:I5"/>
    <mergeCell ref="E10:F10"/>
    <mergeCell ref="A71:I71"/>
    <mergeCell ref="A25:E25"/>
    <mergeCell ref="A14:I14"/>
    <mergeCell ref="B7:E7"/>
    <mergeCell ref="G4:I4"/>
    <mergeCell ref="A8:I8"/>
    <mergeCell ref="A40:A42"/>
    <mergeCell ref="A31:A35"/>
    <mergeCell ref="A12:B12"/>
    <mergeCell ref="A29:I29"/>
    <mergeCell ref="A52:I52"/>
    <mergeCell ref="C12:D12"/>
    <mergeCell ref="A72:I72"/>
    <mergeCell ref="A26:E26"/>
    <mergeCell ref="A28:I28"/>
    <mergeCell ref="A69:D69"/>
    <mergeCell ref="C11:D11"/>
    <mergeCell ref="A13:I13"/>
    <mergeCell ref="E11:F11"/>
    <mergeCell ref="A9:I9"/>
    <mergeCell ref="A60:A64"/>
    <mergeCell ref="G12:I12"/>
    <mergeCell ref="A54:A56"/>
    <mergeCell ref="A83:I83"/>
    <mergeCell ref="A48:I48"/>
    <mergeCell ref="G11:I11"/>
    <mergeCell ref="A15:I15"/>
    <mergeCell ref="A82:I82"/>
    <mergeCell ref="A73:I73"/>
    <mergeCell ref="A49:I49"/>
    <mergeCell ref="A51:I51"/>
    <mergeCell ref="A43:A46"/>
    <mergeCell ref="A10:B10"/>
    <mergeCell ref="A1:I1"/>
    <mergeCell ref="A70:I70"/>
    <mergeCell ref="A47:D47"/>
    <mergeCell ref="G7:I7"/>
  </mergeCells>
  <printOptions horizontalCentered="1"/>
  <pageMargins left="0.25" right="0.25" top="0.35" bottom="0.35" header="0.15" footer="0.15"/>
  <pageSetup orientation="landscape" paperSize="1" fitToHeight="0" fitToWidth="1"/>
  <rowBreaks count="3" manualBreakCount="3">
    <brk id="26" min="0" max="16383" man="1"/>
    <brk id="49" min="0" max="16383" man="1"/>
    <brk id="71" min="0" max="16383" man="1"/>
  </rowBreaks>
</worksheet>
</file>

<file path=xl/worksheets/sheet3.xml><?xml version="1.0" encoding="utf-8"?>
<worksheet xmlns="http://schemas.openxmlformats.org/spreadsheetml/2006/main">
  <sheetPr>
    <outlinePr summaryBelow="1" summaryRight="1"/>
    <pageSetUpPr fitToPage="1"/>
  </sheetPr>
  <dimension ref="A1:R38"/>
  <sheetViews>
    <sheetView showGridLines="1" workbookViewId="0">
      <selection activeCell="A1" sqref="A1"/>
    </sheetView>
  </sheetViews>
  <sheetFormatPr baseColWidth="8" defaultRowHeight="15"/>
  <cols>
    <col width="8" customWidth="1" min="1" max="1"/>
    <col width="24" customWidth="1" min="2" max="2"/>
    <col width="32" customWidth="1" min="3" max="3"/>
    <col width="16" customWidth="1" min="4" max="4"/>
    <col width="24" customWidth="1" min="5" max="5"/>
    <col width="38" customWidth="1" min="6" max="6"/>
    <col width="38" customWidth="1" min="7" max="7"/>
    <col width="26" customWidth="1" min="8" max="8"/>
    <col width="11" customWidth="1" min="9" max="9"/>
    <col width="19" customWidth="1" min="10" max="10"/>
    <col width="11" customWidth="1" min="11" max="11"/>
    <col width="23" customWidth="1" min="12" max="12"/>
    <col width="11" customWidth="1" min="13" max="13"/>
    <col width="11" customWidth="1" min="14" max="14"/>
    <col width="11" customWidth="1" min="15" max="15"/>
    <col width="79" customWidth="1" min="16" max="16"/>
    <col width="11" customWidth="1" min="17" max="17"/>
    <col width="11" customWidth="1" min="18" max="18"/>
  </cols>
  <sheetData>
    <row r="1" ht="28" customHeight="1">
      <c r="A1" s="1" t="inlineStr">
        <is>
          <t>HWB CLEANING SERVICES LLC — MASTER OPERATIONAL DISPATCH GANTT</t>
        </is>
      </c>
    </row>
    <row r="2" ht="22" customHeight="1">
      <c r="A2" s="2" t="inlineStr">
        <is>
          <t>COLLIN COLLEGE FRISCO CAMPUS: SPECIAL PROJECTS GANTT, 3-SECTOR FLOOR CARE &amp; 24-HR SHIFT PROTOCOL</t>
        </is>
      </c>
    </row>
    <row r="4">
      <c r="A4" s="5" t="inlineStr">
        <is>
          <t>STAGE 1: TRI-ANNUAL SPECIAL PROJECTS RESTORATIVE GANTT (SOW §§ 117-124)</t>
        </is>
      </c>
    </row>
    <row r="5" ht="26" customHeight="1">
      <c r="A5" s="7" t="inlineStr">
        <is>
          <t>Item</t>
        </is>
      </c>
      <c r="B5" s="7" t="inlineStr">
        <is>
          <t>Special Project Description (SOW Scope)</t>
        </is>
      </c>
      <c r="C5" s="7" t="inlineStr">
        <is>
          <t>Primary Campus Target Zones</t>
        </is>
      </c>
      <c r="D5" s="7" t="inlineStr">
        <is>
          <t>Assigned Crew</t>
        </is>
      </c>
      <c r="E5" s="7" t="inlineStr">
        <is>
          <t>Direct Cost</t>
        </is>
      </c>
      <c r="F5" s="22" t="inlineStr">
        <is>
          <t>Jan</t>
        </is>
      </c>
      <c r="G5" s="22" t="inlineStr">
        <is>
          <t>Feb</t>
        </is>
      </c>
      <c r="H5" s="22" t="inlineStr">
        <is>
          <t>Mar</t>
        </is>
      </c>
      <c r="I5" s="22" t="inlineStr">
        <is>
          <t>Apr</t>
        </is>
      </c>
      <c r="J5" s="23" t="inlineStr">
        <is>
          <t>MAY (Shutdown 1)</t>
        </is>
      </c>
      <c r="K5" s="22" t="inlineStr">
        <is>
          <t>Jun</t>
        </is>
      </c>
      <c r="L5" s="23" t="inlineStr">
        <is>
          <t>JUL/AUG (Shutdown 2)</t>
        </is>
      </c>
      <c r="M5" s="22" t="inlineStr">
        <is>
          <t>Sep</t>
        </is>
      </c>
      <c r="N5" s="22" t="inlineStr">
        <is>
          <t>Oct</t>
        </is>
      </c>
      <c r="O5" s="22" t="inlineStr">
        <is>
          <t>Nov</t>
        </is>
      </c>
      <c r="P5" s="23" t="inlineStr">
        <is>
          <t>DEC (Shutdown 3)</t>
        </is>
      </c>
    </row>
    <row r="6" ht="20" customHeight="1">
      <c r="A6" s="10" t="n">
        <v>1</v>
      </c>
      <c r="B6" s="9" t="inlineStr">
        <is>
          <t>VCT Deep Stripping &amp; 4-Coat High-Gloss Finish</t>
        </is>
      </c>
      <c r="C6" s="9" t="inlineStr">
        <is>
          <t>Founders, Heritage, University &amp; Lawler Corridors</t>
        </is>
      </c>
      <c r="D6" s="10" t="inlineStr">
        <is>
          <t>6 Techs (Night)</t>
        </is>
      </c>
      <c r="E6" s="13" t="inlineStr">
        <is>
          <t>$8,450</t>
        </is>
      </c>
      <c r="F6" s="24" t="inlineStr">
        <is>
          <t>—</t>
        </is>
      </c>
      <c r="G6" s="24" t="inlineStr">
        <is>
          <t>—</t>
        </is>
      </c>
      <c r="H6" s="24" t="inlineStr">
        <is>
          <t>—</t>
        </is>
      </c>
      <c r="I6" s="24" t="inlineStr">
        <is>
          <t>—</t>
        </is>
      </c>
      <c r="J6" s="25" t="inlineStr">
        <is>
          <t>ACTIVE</t>
        </is>
      </c>
      <c r="K6" s="24" t="inlineStr">
        <is>
          <t>—</t>
        </is>
      </c>
      <c r="L6" s="25" t="inlineStr">
        <is>
          <t>ACTIVE</t>
        </is>
      </c>
      <c r="M6" s="24" t="inlineStr">
        <is>
          <t>—</t>
        </is>
      </c>
      <c r="N6" s="24" t="inlineStr">
        <is>
          <t>—</t>
        </is>
      </c>
      <c r="O6" s="24" t="inlineStr">
        <is>
          <t>—</t>
        </is>
      </c>
      <c r="P6" s="25" t="inlineStr">
        <is>
          <t>ACTIVE</t>
        </is>
      </c>
    </row>
    <row r="7" ht="20" customHeight="1">
      <c r="A7" s="10" t="n">
        <v>2</v>
      </c>
      <c r="B7" s="9" t="inlineStr">
        <is>
          <t>Terrazzo Rotary Scrub &amp; Diamond Mechanical Hone</t>
        </is>
      </c>
      <c r="C7" s="9" t="inlineStr">
        <is>
          <t>Founders Atrium, Heritage Concourse &amp; Student Center</t>
        </is>
      </c>
      <c r="D7" s="10" t="inlineStr">
        <is>
          <t>4 Techs (Night)</t>
        </is>
      </c>
      <c r="E7" s="13" t="inlineStr">
        <is>
          <t>$4,200</t>
        </is>
      </c>
      <c r="F7" s="24" t="inlineStr">
        <is>
          <t>—</t>
        </is>
      </c>
      <c r="G7" s="24" t="inlineStr">
        <is>
          <t>—</t>
        </is>
      </c>
      <c r="H7" s="24" t="inlineStr">
        <is>
          <t>—</t>
        </is>
      </c>
      <c r="I7" s="24" t="inlineStr">
        <is>
          <t>—</t>
        </is>
      </c>
      <c r="J7" s="25" t="inlineStr">
        <is>
          <t>ACTIVE</t>
        </is>
      </c>
      <c r="K7" s="24" t="inlineStr">
        <is>
          <t>—</t>
        </is>
      </c>
      <c r="L7" s="25" t="inlineStr">
        <is>
          <t>ACTIVE</t>
        </is>
      </c>
      <c r="M7" s="24" t="inlineStr">
        <is>
          <t>—</t>
        </is>
      </c>
      <c r="N7" s="24" t="inlineStr">
        <is>
          <t>—</t>
        </is>
      </c>
      <c r="O7" s="24" t="inlineStr">
        <is>
          <t>—</t>
        </is>
      </c>
      <c r="P7" s="25" t="inlineStr">
        <is>
          <t>ACTIVE</t>
        </is>
      </c>
    </row>
    <row r="8" ht="20" customHeight="1">
      <c r="A8" s="10" t="n">
        <v>3</v>
      </c>
      <c r="B8" s="9" t="inlineStr">
        <is>
          <t>High-Performance Hot-Water Carpet Deep Extraction</t>
        </is>
      </c>
      <c r="C8" s="9" t="inlineStr">
        <is>
          <t>Library (62k SF), Classrooms, Lecture Halls, Offices</t>
        </is>
      </c>
      <c r="D8" s="10" t="inlineStr">
        <is>
          <t>6 Techs (Night)</t>
        </is>
      </c>
      <c r="E8" s="13" t="inlineStr">
        <is>
          <t>$6,800</t>
        </is>
      </c>
      <c r="F8" s="24" t="inlineStr">
        <is>
          <t>—</t>
        </is>
      </c>
      <c r="G8" s="24" t="inlineStr">
        <is>
          <t>—</t>
        </is>
      </c>
      <c r="H8" s="24" t="inlineStr">
        <is>
          <t>—</t>
        </is>
      </c>
      <c r="I8" s="24" t="inlineStr">
        <is>
          <t>—</t>
        </is>
      </c>
      <c r="J8" s="25" t="inlineStr">
        <is>
          <t>ACTIVE</t>
        </is>
      </c>
      <c r="K8" s="24" t="inlineStr">
        <is>
          <t>—</t>
        </is>
      </c>
      <c r="L8" s="25" t="inlineStr">
        <is>
          <t>ACTIVE</t>
        </is>
      </c>
      <c r="M8" s="24" t="inlineStr">
        <is>
          <t>—</t>
        </is>
      </c>
      <c r="N8" s="24" t="inlineStr">
        <is>
          <t>—</t>
        </is>
      </c>
      <c r="O8" s="24" t="inlineStr">
        <is>
          <t>—</t>
        </is>
      </c>
      <c r="P8" s="25" t="inlineStr">
        <is>
          <t>ACTIVE</t>
        </is>
      </c>
    </row>
    <row r="9" ht="20" customHeight="1">
      <c r="A9" s="10" t="n">
        <v>4</v>
      </c>
      <c r="B9" s="9" t="inlineStr">
        <is>
          <t>Ceramic Tile &amp; Grout Acidic Restorative Scrubbing</t>
        </is>
      </c>
      <c r="C9" s="9" t="inlineStr">
        <is>
          <t>41 Restroom Banks Campus-Wide (180 Fixtures)</t>
        </is>
      </c>
      <c r="D9" s="10" t="inlineStr">
        <is>
          <t>4 Techs (Kaivac)</t>
        </is>
      </c>
      <c r="E9" s="13" t="inlineStr">
        <is>
          <t>$3,100</t>
        </is>
      </c>
      <c r="F9" s="24" t="inlineStr">
        <is>
          <t>—</t>
        </is>
      </c>
      <c r="G9" s="24" t="inlineStr">
        <is>
          <t>—</t>
        </is>
      </c>
      <c r="H9" s="24" t="inlineStr">
        <is>
          <t>—</t>
        </is>
      </c>
      <c r="I9" s="24" t="inlineStr">
        <is>
          <t>—</t>
        </is>
      </c>
      <c r="J9" s="25" t="inlineStr">
        <is>
          <t>ACTIVE</t>
        </is>
      </c>
      <c r="K9" s="24" t="inlineStr">
        <is>
          <t>—</t>
        </is>
      </c>
      <c r="L9" s="25" t="inlineStr">
        <is>
          <t>ACTIVE</t>
        </is>
      </c>
      <c r="M9" s="24" t="inlineStr">
        <is>
          <t>—</t>
        </is>
      </c>
      <c r="N9" s="24" t="inlineStr">
        <is>
          <t>—</t>
        </is>
      </c>
      <c r="O9" s="24" t="inlineStr">
        <is>
          <t>—</t>
        </is>
      </c>
      <c r="P9" s="25" t="inlineStr">
        <is>
          <t>ACTIVE</t>
        </is>
      </c>
    </row>
    <row r="10" ht="20" customHeight="1">
      <c r="A10" s="10" t="n">
        <v>5</v>
      </c>
      <c r="B10" s="9" t="inlineStr">
        <is>
          <t>High-Level Dusting (&gt;8 ft to 25 ft: HVAC/Beams)</t>
        </is>
      </c>
      <c r="C10" s="9" t="inlineStr">
        <is>
          <t>Atria, Auditoriums, Gym, Concourse Light Fixtures</t>
        </is>
      </c>
      <c r="D10" s="10" t="inlineStr">
        <is>
          <t>2 Techs (Lift/Pole)</t>
        </is>
      </c>
      <c r="E10" s="13" t="inlineStr">
        <is>
          <t>$1,850</t>
        </is>
      </c>
      <c r="F10" s="24" t="inlineStr">
        <is>
          <t>—</t>
        </is>
      </c>
      <c r="G10" s="24" t="inlineStr">
        <is>
          <t>—</t>
        </is>
      </c>
      <c r="H10" s="24" t="inlineStr">
        <is>
          <t>—</t>
        </is>
      </c>
      <c r="I10" s="24" t="inlineStr">
        <is>
          <t>—</t>
        </is>
      </c>
      <c r="J10" s="25" t="inlineStr">
        <is>
          <t>ACTIVE</t>
        </is>
      </c>
      <c r="K10" s="24" t="inlineStr">
        <is>
          <t>—</t>
        </is>
      </c>
      <c r="L10" s="25" t="inlineStr">
        <is>
          <t>ACTIVE</t>
        </is>
      </c>
      <c r="M10" s="24" t="inlineStr">
        <is>
          <t>—</t>
        </is>
      </c>
      <c r="N10" s="24" t="inlineStr">
        <is>
          <t>—</t>
        </is>
      </c>
      <c r="O10" s="24" t="inlineStr">
        <is>
          <t>—</t>
        </is>
      </c>
      <c r="P10" s="25" t="inlineStr">
        <is>
          <t>ACTIVE</t>
        </is>
      </c>
    </row>
    <row r="11" ht="20" customHeight="1">
      <c r="A11" s="10" t="n">
        <v>6</v>
      </c>
      <c r="B11" s="9" t="inlineStr">
        <is>
          <t>Architectural Interior &amp; Sloped Atrium Glass Wash</t>
        </is>
      </c>
      <c r="C11" s="9" t="inlineStr">
        <is>
          <t>42 Double-Glass Vestibules &amp; Multi-Story Interior Glass</t>
        </is>
      </c>
      <c r="D11" s="10" t="inlineStr">
        <is>
          <t>2 Techs (Pure Water)</t>
        </is>
      </c>
      <c r="E11" s="13" t="inlineStr">
        <is>
          <t>$1,600</t>
        </is>
      </c>
      <c r="F11" s="24" t="inlineStr">
        <is>
          <t>—</t>
        </is>
      </c>
      <c r="G11" s="24" t="inlineStr">
        <is>
          <t>—</t>
        </is>
      </c>
      <c r="H11" s="24" t="inlineStr">
        <is>
          <t>—</t>
        </is>
      </c>
      <c r="I11" s="24" t="inlineStr">
        <is>
          <t>—</t>
        </is>
      </c>
      <c r="J11" s="25" t="inlineStr">
        <is>
          <t>ACTIVE</t>
        </is>
      </c>
      <c r="K11" s="24" t="inlineStr">
        <is>
          <t>—</t>
        </is>
      </c>
      <c r="L11" s="25" t="inlineStr">
        <is>
          <t>ACTIVE</t>
        </is>
      </c>
      <c r="M11" s="24" t="inlineStr">
        <is>
          <t>—</t>
        </is>
      </c>
      <c r="N11" s="24" t="inlineStr">
        <is>
          <t>—</t>
        </is>
      </c>
      <c r="O11" s="24" t="inlineStr">
        <is>
          <t>—</t>
        </is>
      </c>
      <c r="P11" s="25" t="inlineStr">
        <is>
          <t>ACTIVE</t>
        </is>
      </c>
    </row>
    <row r="12" ht="20" customHeight="1">
      <c r="A12" s="10" t="n">
        <v>7</v>
      </c>
      <c r="B12" s="9" t="inlineStr">
        <is>
          <t>Lecture Hall / Auditorium Upholstered Seat Shampoo</t>
        </is>
      </c>
      <c r="C12" s="9" t="inlineStr">
        <is>
          <t>Large Lecture Halls (Founders &amp; Lawler Auditoriums)</t>
        </is>
      </c>
      <c r="D12" s="10" t="inlineStr">
        <is>
          <t>2 Techs (Extractor)</t>
        </is>
      </c>
      <c r="E12" s="13" t="inlineStr">
        <is>
          <t>$1,450</t>
        </is>
      </c>
      <c r="F12" s="24" t="inlineStr">
        <is>
          <t>—</t>
        </is>
      </c>
      <c r="G12" s="24" t="inlineStr">
        <is>
          <t>—</t>
        </is>
      </c>
      <c r="H12" s="24" t="inlineStr">
        <is>
          <t>—</t>
        </is>
      </c>
      <c r="I12" s="24" t="inlineStr">
        <is>
          <t>—</t>
        </is>
      </c>
      <c r="J12" s="25" t="inlineStr">
        <is>
          <t>ACTIVE</t>
        </is>
      </c>
      <c r="K12" s="24" t="inlineStr">
        <is>
          <t>—</t>
        </is>
      </c>
      <c r="L12" s="24" t="inlineStr">
        <is>
          <t>—</t>
        </is>
      </c>
      <c r="M12" s="24" t="inlineStr">
        <is>
          <t>—</t>
        </is>
      </c>
      <c r="N12" s="24" t="inlineStr">
        <is>
          <t>—</t>
        </is>
      </c>
      <c r="O12" s="24" t="inlineStr">
        <is>
          <t>—</t>
        </is>
      </c>
      <c r="P12" s="25" t="inlineStr">
        <is>
          <t>ACTIVE</t>
        </is>
      </c>
    </row>
    <row r="13" ht="20" customHeight="1">
      <c r="A13" s="10" t="n">
        <v>8</v>
      </c>
      <c r="B13" s="9" t="inlineStr">
        <is>
          <t>Alumni Hall Locker Deep Descaling &amp; Shower Disinfection</t>
        </is>
      </c>
      <c r="C13" s="9" t="inlineStr">
        <is>
          <t>180 Lockers, 16 Showers, Athletic Wet Areas</t>
        </is>
      </c>
      <c r="D13" s="10" t="inlineStr">
        <is>
          <t>3 Techs (Kaivac)</t>
        </is>
      </c>
      <c r="E13" s="13" t="inlineStr">
        <is>
          <t>$2,200</t>
        </is>
      </c>
      <c r="F13" s="24" t="inlineStr">
        <is>
          <t>—</t>
        </is>
      </c>
      <c r="G13" s="24" t="inlineStr">
        <is>
          <t>—</t>
        </is>
      </c>
      <c r="H13" s="24" t="inlineStr">
        <is>
          <t>—</t>
        </is>
      </c>
      <c r="I13" s="24" t="inlineStr">
        <is>
          <t>—</t>
        </is>
      </c>
      <c r="J13" s="25" t="inlineStr">
        <is>
          <t>ACTIVE</t>
        </is>
      </c>
      <c r="K13" s="24" t="inlineStr">
        <is>
          <t>—</t>
        </is>
      </c>
      <c r="L13" s="25" t="inlineStr">
        <is>
          <t>ACTIVE</t>
        </is>
      </c>
      <c r="M13" s="24" t="inlineStr">
        <is>
          <t>—</t>
        </is>
      </c>
      <c r="N13" s="24" t="inlineStr">
        <is>
          <t>—</t>
        </is>
      </c>
      <c r="O13" s="24" t="inlineStr">
        <is>
          <t>—</t>
        </is>
      </c>
      <c r="P13" s="25" t="inlineStr">
        <is>
          <t>ACTIVE</t>
        </is>
      </c>
    </row>
    <row r="14" ht="20" customHeight="1">
      <c r="A14" s="10" t="n">
        <v>9</v>
      </c>
      <c r="B14" s="9" t="inlineStr">
        <is>
          <t>Facilities Shop &amp; Concrete Lab Rotary Degreasing</t>
        </is>
      </c>
      <c r="C14" s="9" t="inlineStr">
        <is>
          <t>Facilities Operations (M) &amp; Science Prep Labs</t>
        </is>
      </c>
      <c r="D14" s="10" t="inlineStr">
        <is>
          <t>2 Techs (Scrubber)</t>
        </is>
      </c>
      <c r="E14" s="13" t="inlineStr">
        <is>
          <t>$1,150</t>
        </is>
      </c>
      <c r="F14" s="24" t="inlineStr">
        <is>
          <t>—</t>
        </is>
      </c>
      <c r="G14" s="24" t="inlineStr">
        <is>
          <t>—</t>
        </is>
      </c>
      <c r="H14" s="24" t="inlineStr">
        <is>
          <t>—</t>
        </is>
      </c>
      <c r="I14" s="24" t="inlineStr">
        <is>
          <t>—</t>
        </is>
      </c>
      <c r="J14" s="24" t="inlineStr">
        <is>
          <t>—</t>
        </is>
      </c>
      <c r="K14" s="24" t="inlineStr">
        <is>
          <t>—</t>
        </is>
      </c>
      <c r="L14" s="25" t="inlineStr">
        <is>
          <t>ACTIVE</t>
        </is>
      </c>
      <c r="M14" s="24" t="inlineStr">
        <is>
          <t>—</t>
        </is>
      </c>
      <c r="N14" s="24" t="inlineStr">
        <is>
          <t>—</t>
        </is>
      </c>
      <c r="O14" s="24" t="inlineStr">
        <is>
          <t>—</t>
        </is>
      </c>
      <c r="P14" s="25" t="inlineStr">
        <is>
          <t>ACTIVE</t>
        </is>
      </c>
    </row>
    <row r="15" ht="20" customHeight="1">
      <c r="A15" s="10" t="n">
        <v>10</v>
      </c>
      <c r="B15" s="9" t="inlineStr">
        <is>
          <t>Exterior Vestibule Power Washing &amp; Gum Removal</t>
        </is>
      </c>
      <c r="C15" s="9" t="inlineStr">
        <is>
          <t>Campus Entrances, Perimeter Concrete &amp; Courtyards</t>
        </is>
      </c>
      <c r="D15" s="10" t="inlineStr">
        <is>
          <t>2 Techs (3500 PSI)</t>
        </is>
      </c>
      <c r="E15" s="13" t="inlineStr">
        <is>
          <t>$1,965</t>
        </is>
      </c>
      <c r="F15" s="24" t="inlineStr">
        <is>
          <t>—</t>
        </is>
      </c>
      <c r="G15" s="24" t="inlineStr">
        <is>
          <t>—</t>
        </is>
      </c>
      <c r="H15" s="24" t="inlineStr">
        <is>
          <t>—</t>
        </is>
      </c>
      <c r="I15" s="24" t="inlineStr">
        <is>
          <t>—</t>
        </is>
      </c>
      <c r="J15" s="25" t="inlineStr">
        <is>
          <t>ACTIVE</t>
        </is>
      </c>
      <c r="K15" s="24" t="inlineStr">
        <is>
          <t>—</t>
        </is>
      </c>
      <c r="L15" s="25" t="inlineStr">
        <is>
          <t>ACTIVE</t>
        </is>
      </c>
      <c r="M15" s="24" t="inlineStr">
        <is>
          <t>—</t>
        </is>
      </c>
      <c r="N15" s="24" t="inlineStr">
        <is>
          <t>—</t>
        </is>
      </c>
      <c r="O15" s="24" t="inlineStr">
        <is>
          <t>—</t>
        </is>
      </c>
      <c r="P15" s="24" t="inlineStr">
        <is>
          <t>—</t>
        </is>
      </c>
    </row>
    <row r="18">
      <c r="A18" s="5" t="inlineStr">
        <is>
          <t>STAGE 2: CAMPUS FLOOR CARE PROGRAM PER BUILDING &amp; EQUIPMENT MATRIX (SPATIALLY SECTORED)</t>
        </is>
      </c>
    </row>
    <row r="19" ht="26" customHeight="1">
      <c r="A19" s="7" t="inlineStr">
        <is>
          <t>Item</t>
        </is>
      </c>
      <c r="B19" s="7" t="inlineStr">
        <is>
          <t>Campus Sector</t>
        </is>
      </c>
      <c r="C19" s="7" t="inlineStr">
        <is>
          <t>Building Name &amp; Code</t>
        </is>
      </c>
      <c r="D19" s="7" t="inlineStr">
        <is>
          <t>Cleanable SF</t>
        </is>
      </c>
      <c r="E19" s="7" t="inlineStr">
        <is>
          <t>Primary Floor Surfaces</t>
        </is>
      </c>
      <c r="F19" s="7" t="inlineStr">
        <is>
          <t>Scheduled Floor Care Scope</t>
        </is>
      </c>
      <c r="G19" s="7" t="inlineStr">
        <is>
          <t>Dedicated Equipment Assigned</t>
        </is>
      </c>
      <c r="H19" s="7" t="inlineStr">
        <is>
          <t>Shift &amp; Cadence</t>
        </is>
      </c>
      <c r="I19" s="26" t="inlineStr">
        <is>
          <t>Mon</t>
        </is>
      </c>
      <c r="J19" s="26" t="inlineStr">
        <is>
          <t>Tue</t>
        </is>
      </c>
      <c r="K19" s="26" t="inlineStr">
        <is>
          <t>Wed</t>
        </is>
      </c>
      <c r="L19" s="26" t="inlineStr">
        <is>
          <t>Thu</t>
        </is>
      </c>
      <c r="M19" s="26" t="inlineStr">
        <is>
          <t>Fri</t>
        </is>
      </c>
      <c r="N19" s="26" t="inlineStr">
        <is>
          <t>Sat</t>
        </is>
      </c>
      <c r="O19" s="26" t="inlineStr">
        <is>
          <t>Sun</t>
        </is>
      </c>
      <c r="P19" s="27" t="inlineStr">
        <is>
          <t>Dispatch &amp; Staging Logistics</t>
        </is>
      </c>
    </row>
    <row r="20" ht="20" customHeight="1">
      <c r="A20" s="10" t="n">
        <v>1</v>
      </c>
      <c r="B20" s="28" t="inlineStr">
        <is>
          <t>Sector Alpha (Spine)</t>
        </is>
      </c>
      <c r="C20" s="9" t="inlineStr">
        <is>
          <t>Founders Hall (F)</t>
        </is>
      </c>
      <c r="D20" s="29" t="n">
        <v>92105</v>
      </c>
      <c r="E20" s="9" t="inlineStr">
        <is>
          <t>VCT, Terrazzo, Carpet</t>
        </is>
      </c>
      <c r="F20" s="9" t="inlineStr">
        <is>
          <t>Concourse auto-scrub; corridor high-speed burnish</t>
        </is>
      </c>
      <c r="G20" s="9" t="inlineStr">
        <is>
          <t>28" Riding Auto-Scrubber / 2000 RPM Burnisher</t>
        </is>
      </c>
      <c r="H20" s="10" t="inlineStr">
        <is>
          <t>Night Shift (Daily/2x Wk)</t>
        </is>
      </c>
      <c r="I20" s="30" t="inlineStr">
        <is>
          <t>RUN</t>
        </is>
      </c>
      <c r="J20" s="30" t="inlineStr">
        <is>
          <t>RUN</t>
        </is>
      </c>
      <c r="K20" s="30" t="inlineStr">
        <is>
          <t>RUN</t>
        </is>
      </c>
      <c r="L20" s="30" t="inlineStr">
        <is>
          <t>RUN</t>
        </is>
      </c>
      <c r="M20" s="30" t="inlineStr">
        <is>
          <t>RUN</t>
        </is>
      </c>
      <c r="N20" s="30" t="inlineStr">
        <is>
          <t>RUN</t>
        </is>
      </c>
      <c r="O20" s="30" t="inlineStr">
        <is>
          <t>RUN</t>
        </is>
      </c>
      <c r="P20" s="31" t="inlineStr">
        <is>
          <t>Station 28" Rider in Central Custodial Room F-102; Ramp access to concourse</t>
        </is>
      </c>
    </row>
    <row r="21" ht="20" customHeight="1">
      <c r="A21" s="10" t="n">
        <v>2</v>
      </c>
      <c r="B21" s="28" t="inlineStr">
        <is>
          <t>Sector Alpha (Spine)</t>
        </is>
      </c>
      <c r="C21" s="9" t="inlineStr">
        <is>
          <t>University Hall (U)</t>
        </is>
      </c>
      <c r="D21" s="29" t="n">
        <v>84320</v>
      </c>
      <c r="E21" s="9" t="inlineStr">
        <is>
          <t>VCT, Carpet, Ceramic</t>
        </is>
      </c>
      <c r="F21" s="9" t="inlineStr">
        <is>
          <t>Corridor auto-scrub; classroom rotary scrub &amp; spray buff</t>
        </is>
      </c>
      <c r="G21" s="9" t="inlineStr">
        <is>
          <t>20" Walk-Behind Auto-Scrubber / 175 RPM Machine</t>
        </is>
      </c>
      <c r="H21" s="10" t="inlineStr">
        <is>
          <t>Night Shift (Daily/3x Wk)</t>
        </is>
      </c>
      <c r="I21" s="30" t="inlineStr">
        <is>
          <t>RUN</t>
        </is>
      </c>
      <c r="J21" s="30" t="inlineStr">
        <is>
          <t>RUN</t>
        </is>
      </c>
      <c r="K21" s="30" t="inlineStr">
        <is>
          <t>RUN</t>
        </is>
      </c>
      <c r="L21" s="30" t="inlineStr">
        <is>
          <t>RUN</t>
        </is>
      </c>
      <c r="M21" s="30" t="inlineStr">
        <is>
          <t>RUN</t>
        </is>
      </c>
      <c r="N21" s="30" t="inlineStr">
        <is>
          <t>RUN</t>
        </is>
      </c>
      <c r="O21" s="30" t="inlineStr">
        <is>
          <t>RUN</t>
        </is>
      </c>
      <c r="P21" s="31" t="inlineStr">
        <is>
          <t>Direct covered concourse connection from Founders Hall</t>
        </is>
      </c>
    </row>
    <row r="22" ht="20" customHeight="1">
      <c r="A22" s="10" t="n">
        <v>3</v>
      </c>
      <c r="B22" s="28" t="inlineStr">
        <is>
          <t>Sector Bravo (Hub)</t>
        </is>
      </c>
      <c r="C22" s="9" t="inlineStr">
        <is>
          <t>Heritage Hall (H)</t>
        </is>
      </c>
      <c r="D22" s="29" t="n">
        <v>78450</v>
      </c>
      <c r="E22" s="9" t="inlineStr">
        <is>
          <t>VCT, Terrazzo Concourse</t>
        </is>
      </c>
      <c r="F22" s="9" t="inlineStr">
        <is>
          <t>Terrazzo daily auto-scrub; VCT corridor burnish</t>
        </is>
      </c>
      <c r="G22" s="9" t="inlineStr">
        <is>
          <t>28" Riding Auto-Scrubber / 2000 RPM Burnisher</t>
        </is>
      </c>
      <c r="H22" s="10" t="inlineStr">
        <is>
          <t>Night Shift (Daily/2x Wk)</t>
        </is>
      </c>
      <c r="I22" s="30" t="inlineStr">
        <is>
          <t>RUN</t>
        </is>
      </c>
      <c r="J22" s="30" t="inlineStr">
        <is>
          <t>RUN</t>
        </is>
      </c>
      <c r="K22" s="30" t="inlineStr">
        <is>
          <t>RUN</t>
        </is>
      </c>
      <c r="L22" s="30" t="inlineStr">
        <is>
          <t>RUN</t>
        </is>
      </c>
      <c r="M22" s="30" t="inlineStr">
        <is>
          <t>RUN</t>
        </is>
      </c>
      <c r="N22" s="30" t="inlineStr">
        <is>
          <t>RUN</t>
        </is>
      </c>
      <c r="O22" s="30" t="inlineStr">
        <is>
          <t>RUN</t>
        </is>
      </c>
      <c r="P22" s="31" t="inlineStr">
        <is>
          <t>Student Services Hub; Rider mobilized via south academic link</t>
        </is>
      </c>
    </row>
    <row r="23" ht="20" customHeight="1">
      <c r="A23" s="10" t="n">
        <v>4</v>
      </c>
      <c r="B23" s="28" t="inlineStr">
        <is>
          <t>Sector Charlie (Special)</t>
        </is>
      </c>
      <c r="C23" s="9" t="inlineStr">
        <is>
          <t>Library &amp; LRC (L)</t>
        </is>
      </c>
      <c r="D23" s="29" t="n">
        <v>62180</v>
      </c>
      <c r="E23" s="9" t="inlineStr">
        <is>
          <t>85% Carpet, VCT Entry</t>
        </is>
      </c>
      <c r="F23" s="9" t="inlineStr">
        <is>
          <t>High-velocity backpack HEPA vac; carpet extraction</t>
        </is>
      </c>
      <c r="G23" s="9" t="inlineStr">
        <is>
          <t>Hot-Water Carpet Extractor / Backpack HEPA Vacs</t>
        </is>
      </c>
      <c r="H23" s="10" t="inlineStr">
        <is>
          <t>Night Shift (Nightly Vac / Extract)</t>
        </is>
      </c>
      <c r="I23" s="30" t="inlineStr">
        <is>
          <t>RUN</t>
        </is>
      </c>
      <c r="J23" s="30" t="inlineStr">
        <is>
          <t>RUN</t>
        </is>
      </c>
      <c r="K23" s="30" t="inlineStr">
        <is>
          <t>RUN</t>
        </is>
      </c>
      <c r="L23" s="30" t="inlineStr">
        <is>
          <t>RUN</t>
        </is>
      </c>
      <c r="M23" s="30" t="inlineStr">
        <is>
          <t>RUN</t>
        </is>
      </c>
      <c r="N23" s="30" t="inlineStr">
        <is>
          <t>RUN</t>
        </is>
      </c>
      <c r="O23" s="30" t="inlineStr">
        <is>
          <t>RUN</t>
        </is>
      </c>
      <c r="P23" s="31" t="inlineStr">
        <is>
          <t>2-Story Quiet Stacks; Dedicated extractor stationed in L-114</t>
        </is>
      </c>
    </row>
    <row r="24" ht="20" customHeight="1">
      <c r="A24" s="10" t="n">
        <v>5</v>
      </c>
      <c r="B24" s="28" t="inlineStr">
        <is>
          <t>Sector Charlie (Special)</t>
        </is>
      </c>
      <c r="C24" s="9" t="inlineStr">
        <is>
          <t>Lawler Hall (J)</t>
        </is>
      </c>
      <c r="D24" s="29" t="n">
        <v>48260</v>
      </c>
      <c r="E24" s="9" t="inlineStr">
        <is>
          <t>VCT Corridors, Carpet</t>
        </is>
      </c>
      <c r="F24" s="9" t="inlineStr">
        <is>
          <t>Corridor auto-scrubbing; classroom spot buffing</t>
        </is>
      </c>
      <c r="G24" s="9" t="inlineStr">
        <is>
          <t>20" Walk-Behind Auto-Scrubber / Burnisher</t>
        </is>
      </c>
      <c r="H24" s="10" t="inlineStr">
        <is>
          <t>Night Shift (3x/Week Alternate)</t>
        </is>
      </c>
      <c r="I24" s="30" t="inlineStr">
        <is>
          <t>RUN</t>
        </is>
      </c>
      <c r="J24" s="24" t="inlineStr">
        <is>
          <t>—</t>
        </is>
      </c>
      <c r="K24" s="30" t="inlineStr">
        <is>
          <t>RUN</t>
        </is>
      </c>
      <c r="L24" s="24" t="inlineStr">
        <is>
          <t>—</t>
        </is>
      </c>
      <c r="M24" s="30" t="inlineStr">
        <is>
          <t>RUN</t>
        </is>
      </c>
      <c r="N24" s="24" t="inlineStr">
        <is>
          <t>—</t>
        </is>
      </c>
      <c r="O24" s="30" t="inlineStr">
        <is>
          <t>RUN</t>
        </is>
      </c>
      <c r="P24" s="31" t="inlineStr">
        <is>
          <t>Lecture Halls &amp; Seminar Rooms; 20" scrubber assigned</t>
        </is>
      </c>
    </row>
    <row r="25" ht="20" customHeight="1">
      <c r="A25" s="10" t="n">
        <v>6</v>
      </c>
      <c r="B25" s="28" t="inlineStr">
        <is>
          <t>Sector Charlie (Athletic)</t>
        </is>
      </c>
      <c r="C25" s="9" t="inlineStr">
        <is>
          <t>Alumni Hall &amp; PE (A)</t>
        </is>
      </c>
      <c r="D25" s="29" t="n">
        <v>38940</v>
      </c>
      <c r="E25" s="9" t="inlineStr">
        <is>
          <t>Ceramic Tile, Concrete</t>
        </is>
      </c>
      <c r="F25" s="9" t="inlineStr">
        <is>
          <t>Locker tile power scrub; shower descaling; gym track</t>
        </is>
      </c>
      <c r="G25" s="9" t="inlineStr">
        <is>
          <t>Kaivac Touchless Unit / 175 RPM Machine &amp; Wet-Vac</t>
        </is>
      </c>
      <c r="H25" s="10" t="inlineStr">
        <is>
          <t>Night Shift (Nightly Deep Scrub)</t>
        </is>
      </c>
      <c r="I25" s="30" t="inlineStr">
        <is>
          <t>RUN</t>
        </is>
      </c>
      <c r="J25" s="30" t="inlineStr">
        <is>
          <t>RUN</t>
        </is>
      </c>
      <c r="K25" s="30" t="inlineStr">
        <is>
          <t>RUN</t>
        </is>
      </c>
      <c r="L25" s="30" t="inlineStr">
        <is>
          <t>RUN</t>
        </is>
      </c>
      <c r="M25" s="30" t="inlineStr">
        <is>
          <t>RUN</t>
        </is>
      </c>
      <c r="N25" s="30" t="inlineStr">
        <is>
          <t>RUN</t>
        </is>
      </c>
      <c r="O25" s="30" t="inlineStr">
        <is>
          <t>RUN</t>
        </is>
      </c>
      <c r="P25" s="31" t="inlineStr">
        <is>
          <t>Standalone Athletic Facility; Permanent Kaivac station inside locker storage</t>
        </is>
      </c>
    </row>
    <row r="26" ht="20" customHeight="1">
      <c r="A26" s="10" t="n">
        <v>7</v>
      </c>
      <c r="B26" s="28" t="inlineStr">
        <is>
          <t>Sector Bravo (Hub)</t>
        </is>
      </c>
      <c r="C26" s="9" t="inlineStr">
        <is>
          <t>Student Center (C)</t>
        </is>
      </c>
      <c r="D26" s="29" t="n">
        <v>32150</v>
      </c>
      <c r="E26" s="9" t="inlineStr">
        <is>
          <t>Terrazzo, VCT Dining</t>
        </is>
      </c>
      <c r="F26" s="9" t="inlineStr">
        <is>
          <t>Food-court degrease; dining concourse auto-scrub</t>
        </is>
      </c>
      <c r="G26" s="9" t="inlineStr">
        <is>
          <t>20" Walk-Behind Scrubber / Degreasing Pads</t>
        </is>
      </c>
      <c r="H26" s="10" t="inlineStr">
        <is>
          <t>Night Shift (Post-Close Daily)</t>
        </is>
      </c>
      <c r="I26" s="30" t="inlineStr">
        <is>
          <t>RUN</t>
        </is>
      </c>
      <c r="J26" s="30" t="inlineStr">
        <is>
          <t>RUN</t>
        </is>
      </c>
      <c r="K26" s="30" t="inlineStr">
        <is>
          <t>RUN</t>
        </is>
      </c>
      <c r="L26" s="30" t="inlineStr">
        <is>
          <t>RUN</t>
        </is>
      </c>
      <c r="M26" s="30" t="inlineStr">
        <is>
          <t>RUN</t>
        </is>
      </c>
      <c r="N26" s="30" t="inlineStr">
        <is>
          <t>RUN</t>
        </is>
      </c>
      <c r="O26" s="30" t="inlineStr">
        <is>
          <t>RUN</t>
        </is>
      </c>
      <c r="P26" s="31" t="inlineStr">
        <is>
          <t>High Grease &amp; Food Traffic; Loading dock service corridor adjacent</t>
        </is>
      </c>
    </row>
    <row r="27" ht="20" customHeight="1">
      <c r="A27" s="10" t="n">
        <v>8</v>
      </c>
      <c r="B27" s="28" t="inlineStr">
        <is>
          <t>Sector Bravo (Hub)</t>
        </is>
      </c>
      <c r="C27" s="9" t="inlineStr">
        <is>
          <t>IT Infrastructure (IT)</t>
        </is>
      </c>
      <c r="D27" s="29" t="n">
        <v>18420</v>
      </c>
      <c r="E27" s="9" t="inlineStr">
        <is>
          <t>Raised Tile, Carpet</t>
        </is>
      </c>
      <c r="F27" s="9" t="inlineStr">
        <is>
          <t>Anti-static dry microfiber; HEPA vacuuming</t>
        </is>
      </c>
      <c r="G27" s="9" t="inlineStr">
        <is>
          <t>Anti-Static HEPA Canister Vac / Microfiber</t>
        </is>
      </c>
      <c r="H27" s="10" t="inlineStr">
        <is>
          <t>Night Shift (2x/Week Strict)</t>
        </is>
      </c>
      <c r="I27" s="24" t="inlineStr">
        <is>
          <t>—</t>
        </is>
      </c>
      <c r="J27" s="30" t="inlineStr">
        <is>
          <t>RUN</t>
        </is>
      </c>
      <c r="K27" s="24" t="inlineStr">
        <is>
          <t>—</t>
        </is>
      </c>
      <c r="L27" s="30" t="inlineStr">
        <is>
          <t>RUN</t>
        </is>
      </c>
      <c r="M27" s="24" t="inlineStr">
        <is>
          <t>—</t>
        </is>
      </c>
      <c r="N27" s="24" t="inlineStr">
        <is>
          <t>—</t>
        </is>
      </c>
      <c r="O27" s="24" t="inlineStr">
        <is>
          <t>—</t>
        </is>
      </c>
      <c r="P27" s="31" t="inlineStr">
        <is>
          <t>Strict Static-Control Zone; Clean-agent server rooms</t>
        </is>
      </c>
    </row>
    <row r="28" ht="20" customHeight="1">
      <c r="A28" s="10" t="n">
        <v>9</v>
      </c>
      <c r="B28" s="28" t="inlineStr">
        <is>
          <t>Operations / Shops</t>
        </is>
      </c>
      <c r="C28" s="9" t="inlineStr">
        <is>
          <t>Facilities Maint. (M)</t>
        </is>
      </c>
      <c r="D28" s="29" t="n">
        <v>14200</v>
      </c>
      <c r="E28" s="9" t="inlineStr">
        <is>
          <t>Industrial Concrete</t>
        </is>
      </c>
      <c r="F28" s="9" t="inlineStr">
        <is>
          <t>Shop rotary degreasing scrub; tire mark removal</t>
        </is>
      </c>
      <c r="G28" s="9" t="inlineStr">
        <is>
          <t>20" Walk-Behind Scrubber / Stripping Brush</t>
        </is>
      </c>
      <c r="H28" s="10" t="inlineStr">
        <is>
          <t>Night Shift (Weekly Deep Scrub)</t>
        </is>
      </c>
      <c r="I28" s="24" t="inlineStr">
        <is>
          <t>—</t>
        </is>
      </c>
      <c r="J28" s="24" t="inlineStr">
        <is>
          <t>—</t>
        </is>
      </c>
      <c r="K28" s="24" t="inlineStr">
        <is>
          <t>—</t>
        </is>
      </c>
      <c r="L28" s="24" t="inlineStr">
        <is>
          <t>—</t>
        </is>
      </c>
      <c r="M28" s="30" t="inlineStr">
        <is>
          <t>RUN</t>
        </is>
      </c>
      <c r="N28" s="24" t="inlineStr">
        <is>
          <t>—</t>
        </is>
      </c>
      <c r="O28" s="24" t="inlineStr">
        <is>
          <t>—</t>
        </is>
      </c>
      <c r="P28" s="31" t="inlineStr">
        <is>
          <t>Central Campus Compactor &amp; Dumpster staging area</t>
        </is>
      </c>
    </row>
    <row r="29" ht="20" customHeight="1">
      <c r="A29" s="10" t="n">
        <v>10</v>
      </c>
      <c r="B29" s="28" t="inlineStr">
        <is>
          <t>Operations / 24-7</t>
        </is>
      </c>
      <c r="C29" s="9" t="inlineStr">
        <is>
          <t>Campus Safety (S)</t>
        </is>
      </c>
      <c r="D29" s="29" t="n">
        <v>9393</v>
      </c>
      <c r="E29" s="9" t="inlineStr">
        <is>
          <t>VCT Dispatch, Carpet</t>
        </is>
      </c>
      <c r="F29" s="9" t="inlineStr">
        <is>
          <t>Continuous lobby upkeep; dispatch floor buffing</t>
        </is>
      </c>
      <c r="G29" s="9" t="inlineStr">
        <is>
          <t>2000 RPM Electric Burnisher / Upright Vac</t>
        </is>
      </c>
      <c r="H29" s="10" t="inlineStr">
        <is>
          <t>Night Shift + Day Porter Spot</t>
        </is>
      </c>
      <c r="I29" s="30" t="inlineStr">
        <is>
          <t>RUN</t>
        </is>
      </c>
      <c r="J29" s="30" t="inlineStr">
        <is>
          <t>RUN</t>
        </is>
      </c>
      <c r="K29" s="30" t="inlineStr">
        <is>
          <t>RUN</t>
        </is>
      </c>
      <c r="L29" s="30" t="inlineStr">
        <is>
          <t>RUN</t>
        </is>
      </c>
      <c r="M29" s="30" t="inlineStr">
        <is>
          <t>RUN</t>
        </is>
      </c>
      <c r="N29" s="30" t="inlineStr">
        <is>
          <t>RUN</t>
        </is>
      </c>
      <c r="O29" s="30" t="inlineStr">
        <is>
          <t>RUN</t>
        </is>
      </c>
      <c r="P29" s="31" t="inlineStr">
        <is>
          <t>24/7 Police Dispatch Wing; Sign-in police desk location</t>
        </is>
      </c>
    </row>
    <row r="31">
      <c r="A31" s="5" t="inlineStr">
        <is>
          <t>STAGE 3: 24-HR SHIFT CADENCE, 3-SECTOR DAY PORTER COVERAGE &amp; BIOMETRIC PUNCH PROTOCOL</t>
        </is>
      </c>
    </row>
    <row r="32" ht="24" customHeight="1">
      <c r="A32" s="32" t="inlineStr">
        <is>
          <t>Shift</t>
        </is>
      </c>
      <c r="B32" s="32" t="inlineStr">
        <is>
          <t>Sector / Coverage Zone</t>
        </is>
      </c>
      <c r="C32" s="32" t="inlineStr">
        <is>
          <t>Operating Window</t>
        </is>
      </c>
      <c r="D32" s="32" t="inlineStr">
        <is>
          <t>Mandated Posts</t>
        </is>
      </c>
      <c r="E32" s="32" t="inlineStr">
        <is>
          <t>Biometric Punch &amp; Security Sign-In Protocol</t>
        </is>
      </c>
      <c r="F32" s="32" t="inlineStr">
        <is>
          <t>Core Chores &amp; Spatial Responsibilities</t>
        </is>
      </c>
    </row>
    <row r="33" ht="30" customHeight="1">
      <c r="A33" s="33" t="inlineStr">
        <is>
          <t>Day Porters (M-F)</t>
        </is>
      </c>
      <c r="B33" s="33" t="inlineStr">
        <is>
          <t>Sector Alpha (Academic Spine)</t>
        </is>
      </c>
      <c r="C33" s="34" t="inlineStr">
        <is>
          <t>8:00 AM - 4:30 PM</t>
        </is>
      </c>
      <c r="D33" s="35" t="inlineStr">
        <is>
          <t>2 Porters Dedicated</t>
        </is>
      </c>
      <c r="E33" s="36" t="inlineStr">
        <is>
          <t>Biometric finger clock-in at 8:00 AM; Police logbook sign-in at Bldg S. Midday check; Clock out at 4:30 PM.</t>
        </is>
      </c>
      <c r="F33" s="36" t="inlineStr">
        <is>
          <t>Founders Hall + University Hall (176,425 SF). Continuous restroom checks, class turnover trash, lecture hall touchpoints, and main drop-off entrance glass.</t>
        </is>
      </c>
    </row>
    <row r="34" ht="30" customHeight="1">
      <c r="A34" s="33" t="inlineStr">
        <is>
          <t>Day Porter (M-F)</t>
        </is>
      </c>
      <c r="B34" s="33" t="inlineStr">
        <is>
          <t>Sector Bravo (Student Life Hub)</t>
        </is>
      </c>
      <c r="C34" s="34" t="inlineStr">
        <is>
          <t>8:00 AM - 4:30 PM</t>
        </is>
      </c>
      <c r="D34" s="35" t="inlineStr">
        <is>
          <t>1 Porter Dedicated</t>
        </is>
      </c>
      <c r="E34" s="36" t="inlineStr">
        <is>
          <t>Biometric finger clock-in at 8:00 AM; Police logbook sign-in at Bldg S. Clock out at 4:30 PM.</t>
        </is>
      </c>
      <c r="F34" s="36" t="inlineStr">
        <is>
          <t>Heritage Hall + Student Center + IT (129,020 SF). Food court dining cleanup, trash pulls post-lunch, admissions/testing lobby glass, spill response.</t>
        </is>
      </c>
    </row>
    <row r="35" ht="30" customHeight="1">
      <c r="A35" s="33" t="inlineStr">
        <is>
          <t>Day Porter (M-F)</t>
        </is>
      </c>
      <c r="B35" s="33" t="inlineStr">
        <is>
          <t>Sector Charlie (Specialty/Athletics)</t>
        </is>
      </c>
      <c r="C35" s="34" t="inlineStr">
        <is>
          <t>8:00 AM - 4:30 PM</t>
        </is>
      </c>
      <c r="D35" s="35" t="inlineStr">
        <is>
          <t>1 Porter Dedicated</t>
        </is>
      </c>
      <c r="E35" s="36" t="inlineStr">
        <is>
          <t>Biometric finger clock-in at 8:00 AM; Police logbook sign-in at Bldg S. Clock out at 4:30 PM.</t>
        </is>
      </c>
      <c r="F35" s="36" t="inlineStr">
        <is>
          <t>Library LRC + Lawler Hall + Alumni PE + Campus Safety (172,973 SF). Library study carrels, gym corridor trash, perimeter entrance mats, urgent spill dispatch.</t>
        </is>
      </c>
    </row>
    <row r="36" ht="30" customHeight="1">
      <c r="A36" s="33" t="inlineStr">
        <is>
          <t>Day Porters (Sat)</t>
        </is>
      </c>
      <c r="B36" s="33" t="inlineStr">
        <is>
          <t>Campus-Wide Dual Patrol</t>
        </is>
      </c>
      <c r="C36" s="34" t="inlineStr">
        <is>
          <t>8:00 AM - 4:30 PM</t>
        </is>
      </c>
      <c r="D36" s="35" t="inlineStr">
        <is>
          <t>2 Porters Dedicated</t>
        </is>
      </c>
      <c r="E36" s="36" t="inlineStr">
        <is>
          <t>Biometric finger clock-in at 8:00 AM; Police logbook sign-in. Clock out at 4:30 PM.</t>
        </is>
      </c>
      <c r="F36" s="36" t="inlineStr">
        <is>
          <t>Porter 1 covers Academic Spine (F + U); Porter 2 covers Student Center, Library &amp; Alumni Hall. Weekend events and exam trash.</t>
        </is>
      </c>
    </row>
    <row r="37" ht="30" customHeight="1">
      <c r="A37" s="33" t="inlineStr">
        <is>
          <t>Night Custodians (Mon-Sun)</t>
        </is>
      </c>
      <c r="B37" s="33" t="inlineStr">
        <is>
          <t>All 10 Campus Facilities (7 Days)</t>
        </is>
      </c>
      <c r="C37" s="34" t="inlineStr">
        <is>
          <t>10:00 PM - 6:30 AM</t>
        </is>
      </c>
      <c r="D37" s="35" t="inlineStr">
        <is>
          <t>12 Custodians Dedicated</t>
        </is>
      </c>
      <c r="E37" s="36" t="inlineStr">
        <is>
          <t>Mandatory biometric finger clock-in at 10:00 PM; Police logbook signing. Biometric clock-out at 6:30 AM.</t>
        </is>
      </c>
      <c r="F37" s="36" t="inlineStr">
        <is>
          <t>Heavy production: 136 classrooms/labs, 41 restroom banks deep sanitized, auto-scrubbers running, tilt-cart trash hauled to Bldg M compactor.</t>
        </is>
      </c>
    </row>
    <row r="38" ht="30" customHeight="1">
      <c r="A38" s="33" t="inlineStr">
        <is>
          <t>Night Supervisor (Mon-Sun)</t>
        </is>
      </c>
      <c r="B38" s="33" t="inlineStr">
        <is>
          <t>Campus-Wide Quality Assurance</t>
        </is>
      </c>
      <c r="C38" s="34" t="inlineStr">
        <is>
          <t>10:00 PM - 6:30 AM</t>
        </is>
      </c>
      <c r="D38" s="35" t="inlineStr">
        <is>
          <t>1 Non-Cleaning Sup</t>
        </is>
      </c>
      <c r="E38" s="36" t="inlineStr">
        <is>
          <t>Biometric sign-in; Police desk logbook check; Daily Task Check Sheet completion; Campus walkthrough before exit.</t>
        </is>
      </c>
      <c r="F38" s="36" t="inlineStr">
        <is>
          <t>Quality control inspections across all 10 buildings, biometric punch verification, key control log, 2-hr emergency call response.</t>
        </is>
      </c>
    </row>
  </sheetData>
  <mergeCells count="5">
    <mergeCell ref="A2:R2"/>
    <mergeCell ref="A1:R1"/>
    <mergeCell ref="A31:R31"/>
    <mergeCell ref="A18:R18"/>
    <mergeCell ref="A4:R4"/>
  </mergeCells>
  <printOptions horizontalCentered="1"/>
  <pageMargins left="0.25" right="0.25" top="0.4" bottom="0.4" header="0.5" footer="0.5"/>
  <pageSetup orientation="landscape" paperSize="1" fitToHeight="0" fitToWidth="1"/>
</worksheet>
</file>

<file path=xl/worksheets/sheet4.xml><?xml version="1.0" encoding="utf-8"?>
<worksheet xmlns="http://schemas.openxmlformats.org/spreadsheetml/2006/main">
  <sheetPr>
    <outlinePr summaryBelow="1" summaryRight="1"/>
    <pageSetUpPr fitToPage="1"/>
  </sheetPr>
  <dimension ref="A1:H43"/>
  <sheetViews>
    <sheetView showGridLines="1" workbookViewId="0">
      <selection activeCell="A1" sqref="A1"/>
    </sheetView>
  </sheetViews>
  <sheetFormatPr baseColWidth="8" defaultRowHeight="15"/>
  <cols>
    <col width="16" customWidth="1" min="1" max="1"/>
    <col width="28" customWidth="1" min="2" max="2"/>
    <col width="24" customWidth="1" min="3" max="3"/>
    <col width="20" customWidth="1" min="4" max="4"/>
    <col width="22" customWidth="1" min="5" max="5"/>
    <col width="46" customWidth="1" min="6" max="6"/>
    <col width="24" customWidth="1" min="7" max="7"/>
    <col width="36" customWidth="1" min="8" max="8"/>
  </cols>
  <sheetData>
    <row r="1" ht="30" customHeight="1">
      <c r="A1" s="205" t="inlineStr">
        <is>
          <t>HWB CLEANING SERVICES LLC &amp; BOSANNA LLC — MANDATORY EMPLOYEE TRAINING MATRIX</t>
        </is>
      </c>
    </row>
    <row r="2" ht="24" customHeight="1">
      <c r="A2" s="206" t="inlineStr">
        <is>
          <t>COLLIN COLLEGE FRISCO CAMPUS — STATUTORY SAFETY, SECURITY, TECHNICAL &amp; APPA LEVEL 2 CERTIFICATIONS</t>
        </is>
      </c>
    </row>
    <row r="3" ht="12" customHeight="1">
      <c r="A3" t="inlineStr"/>
    </row>
    <row r="4" ht="22" customHeight="1">
      <c r="A4" s="146" t="inlineStr">
        <is>
          <t>Client / Prime Contractor:</t>
        </is>
      </c>
      <c r="B4" s="98" t="inlineStr">
        <is>
          <t>Bosanna LLC (Attn: Angelica Hudgins)</t>
        </is>
      </c>
      <c r="C4" s="120" t="n"/>
      <c r="D4" s="120" t="n"/>
      <c r="E4" s="146" t="inlineStr">
        <is>
          <t>School / Project Name:</t>
        </is>
      </c>
      <c r="F4" s="98" t="inlineStr">
        <is>
          <t>Collin College Frisco Campus Custodial Replacement</t>
        </is>
      </c>
      <c r="G4" s="120" t="n"/>
      <c r="H4" s="120" t="n"/>
    </row>
    <row r="5" ht="22" customHeight="1">
      <c r="A5" s="146" t="inlineStr">
        <is>
          <t>Training Compliance Mandate:</t>
        </is>
      </c>
      <c r="B5" s="98" t="inlineStr">
        <is>
          <t>District Custodial T&amp;C § 130–140 &amp; Frisco SOW § 181</t>
        </is>
      </c>
      <c r="C5" s="120" t="n"/>
      <c r="D5" s="120" t="n"/>
      <c r="E5" s="146" t="inlineStr">
        <is>
          <t>Governing Safety Authorities:</t>
        </is>
      </c>
      <c r="F5" s="98" t="inlineStr">
        <is>
          <t>OSHA, EPA, Texas DSHS, TxDPS &amp; Texas Education Code</t>
        </is>
      </c>
      <c r="G5" s="120" t="n"/>
      <c r="H5" s="120" t="n"/>
    </row>
    <row r="6" ht="22" customHeight="1">
      <c r="A6" s="146" t="inlineStr">
        <is>
          <t>Mandatory Onboarding Window:</t>
        </is>
      </c>
      <c r="B6" s="98" t="inlineStr">
        <is>
          <t>Within Seven (7) Days of Hire (Before Unsupervised Work)</t>
        </is>
      </c>
      <c r="C6" s="120" t="n"/>
      <c r="D6" s="120" t="n"/>
      <c r="E6" s="146" t="inlineStr">
        <is>
          <t>Annual Refresher Standard:</t>
        </is>
      </c>
      <c r="F6" s="98" t="inlineStr">
        <is>
          <t>100% Annual Re-Certification for All Active Personnel</t>
        </is>
      </c>
      <c r="G6" s="120" t="n"/>
      <c r="H6" s="120" t="n"/>
    </row>
    <row r="7" ht="22" customHeight="1">
      <c r="A7" s="146" t="inlineStr">
        <is>
          <t>Covered Campus Workforce:</t>
        </is>
      </c>
      <c r="B7" s="98" t="inlineStr">
        <is>
          <t>28.0 FTEs (29–32 Badged Cleaners, Techs &amp; Shift Leads)</t>
        </is>
      </c>
      <c r="C7" s="120" t="n"/>
      <c r="D7" s="120" t="n"/>
      <c r="E7" s="146" t="inlineStr">
        <is>
          <t>Compliance Verification:</t>
        </is>
      </c>
      <c r="F7" s="98" t="inlineStr">
        <is>
          <t>Signed Roster &amp; Digital Certificates Filed with District Facilities</t>
        </is>
      </c>
      <c r="G7" s="120" t="n"/>
      <c r="H7" s="120" t="n"/>
    </row>
    <row r="8" ht="14" customHeight="1">
      <c r="A8" t="inlineStr"/>
    </row>
    <row r="9" ht="20" customHeight="1">
      <c r="A9" s="147" t="inlineStr">
        <is>
          <t>TOTAL CERTIFIED MODULES</t>
        </is>
      </c>
      <c r="B9" s="107" t="n"/>
      <c r="C9" s="147" t="inlineStr">
        <is>
          <t>NEW HIRE ONBOARDING</t>
        </is>
      </c>
      <c r="D9" s="107" t="n"/>
      <c r="E9" s="148" t="inlineStr">
        <is>
          <t>SUPERVISOR REQUIREMENT</t>
        </is>
      </c>
      <c r="F9" s="105" t="n"/>
      <c r="G9" s="147" t="inlineStr">
        <is>
          <t>DISTRICT AUDIT STANDARD</t>
        </is>
      </c>
      <c r="H9" s="107" t="n"/>
    </row>
    <row r="10" ht="32" customHeight="1">
      <c r="A10" s="149" t="inlineStr">
        <is>
          <t>15 Mandatory Courses</t>
        </is>
      </c>
      <c r="B10" s="111" t="n"/>
      <c r="C10" s="149" t="inlineStr">
        <is>
          <t>Within 7 Days of Hire</t>
        </is>
      </c>
      <c r="D10" s="111" t="n"/>
      <c r="E10" s="150" t="inlineStr">
        <is>
          <t>First Aid, CPR &amp; AED</t>
        </is>
      </c>
      <c r="F10" s="109" t="n"/>
      <c r="G10" s="149" t="inlineStr">
        <is>
          <t>100% Verified Records</t>
        </is>
      </c>
      <c r="H10" s="111" t="n"/>
    </row>
    <row r="11" ht="24" customHeight="1">
      <c r="A11" s="151" t="inlineStr">
        <is>
          <t>Safety, Security, Chemical &amp; APPA Level 2</t>
        </is>
      </c>
      <c r="B11" s="115" t="n"/>
      <c r="C11" s="151" t="inlineStr">
        <is>
          <t>Mandatory Before Unsupervised Floor Work</t>
        </is>
      </c>
      <c r="D11" s="115" t="n"/>
      <c r="E11" s="152" t="inlineStr">
        <is>
          <t>Mandatory for Shift Supervisors (T&amp;C § 140)</t>
        </is>
      </c>
      <c r="F11" s="113" t="n"/>
      <c r="G11" s="151" t="inlineStr">
        <is>
          <t>Certificates Submitted to Facilities Staff</t>
        </is>
      </c>
      <c r="H11" s="115" t="n"/>
    </row>
    <row r="12" ht="14" customHeight="1">
      <c r="A12" t="inlineStr"/>
    </row>
    <row r="13" ht="28" customHeight="1">
      <c r="A13" s="173" t="inlineStr">
        <is>
          <t>1.0 MANDATORY OSHA &amp; SAFETY COMPLIANCE TRAINING (DISTRICT T&amp;C § 130–140)</t>
        </is>
      </c>
    </row>
    <row r="14" ht="44" customHeight="1">
      <c r="A14" s="130" t="inlineStr">
        <is>
          <t>Safety training is contractually mandatory under Collin College Special Terms &amp; Conditions Section 130–140. Every new cleaning employee must complete this curriculum within seven (7) days of hire, followed by annual refreshers. All non-cleaning supervisors must maintain active First Aid, CPR, and AED emergency certifications prior to commencing on-site duties.</t>
        </is>
      </c>
    </row>
    <row r="15" ht="28" customHeight="1">
      <c r="A15" s="59" t="inlineStr">
        <is>
          <t>Module ID</t>
        </is>
      </c>
      <c r="B15" s="59" t="inlineStr">
        <is>
          <t>Training Course Title</t>
        </is>
      </c>
      <c r="C15" s="59" t="inlineStr">
        <is>
          <t>Required Job Roles</t>
        </is>
      </c>
      <c r="D15" s="59" t="inlineStr">
        <is>
          <t>Completion Timeline</t>
        </is>
      </c>
      <c r="E15" s="59" t="inlineStr">
        <is>
          <t>Contract &amp; Legal Rule</t>
        </is>
      </c>
      <c r="F15" s="59" t="inlineStr">
        <is>
          <t>Training Content &amp; Core Competencies</t>
        </is>
      </c>
      <c r="G15" s="59" t="inlineStr">
        <is>
          <t>Verification &amp; Testing</t>
        </is>
      </c>
      <c r="H15" s="59" t="inlineStr">
        <is>
          <t>Compliance Proof &amp; Deliverable</t>
        </is>
      </c>
    </row>
    <row r="16" ht="42" customHeight="1">
      <c r="A16" s="122" t="inlineStr">
        <is>
          <t>TRN-SAF-01</t>
        </is>
      </c>
      <c r="B16" s="146" t="inlineStr">
        <is>
          <t>Safe Work Habits &amp; Ergonomic Injury Prevention</t>
        </is>
      </c>
      <c r="C16" s="99" t="inlineStr">
        <is>
          <t>All Cleaners, Porters, Techs &amp; Supervisors</t>
        </is>
      </c>
      <c r="D16" s="99" t="inlineStr">
        <is>
          <t>Within 7 Days / Annual</t>
        </is>
      </c>
      <c r="E16" s="99" t="inlineStr">
        <is>
          <t>T&amp;C § 132 &amp; SOW § 127</t>
        </is>
      </c>
      <c r="F16" s="153" t="inlineStr">
        <is>
          <t>Proper lifting of loads &gt;30 lbs, safe ladder use, bending/squatting posture, slip/trip prevention, three points of contact on stairs</t>
        </is>
      </c>
      <c r="G16" s="98" t="inlineStr">
        <is>
          <t>Practical Lifting &amp; Ladder Demonstration</t>
        </is>
      </c>
      <c r="H16" s="98" t="inlineStr">
        <is>
          <t>Signed Attendance Roster &amp; Safety Logbook</t>
        </is>
      </c>
    </row>
    <row r="17" ht="44" customHeight="1">
      <c r="A17" s="122" t="inlineStr">
        <is>
          <t>TRN-SAF-02</t>
        </is>
      </c>
      <c r="B17" s="146" t="inlineStr">
        <is>
          <t>Chemical Safety &amp; Closed-Loop Dilution Systems</t>
        </is>
      </c>
      <c r="C17" s="99" t="inlineStr">
        <is>
          <t>All Cleaners, Porters, Techs &amp; Supervisors</t>
        </is>
      </c>
      <c r="D17" s="99" t="inlineStr">
        <is>
          <t>Within 7 Days / Annual</t>
        </is>
      </c>
      <c r="E17" s="99" t="inlineStr">
        <is>
          <t>T&amp;C § 133, 136 &amp; OSHA 1910.1200</t>
        </is>
      </c>
      <c r="F17" s="153" t="inlineStr">
        <is>
          <t>OSHA Hazard Communication (HazCom), reading GHS pictograms, automatic proportioner calibration, PPE requirements, secondary container labeling</t>
        </is>
      </c>
      <c r="G17" s="98" t="inlineStr">
        <is>
          <t>Written Quiz (100% Pass) &amp; Proportioner Audit</t>
        </is>
      </c>
      <c r="H17" s="98" t="inlineStr">
        <is>
          <t>Safety Data Sheet (SDS) Binder Sign-Off</t>
        </is>
      </c>
    </row>
    <row r="18" ht="44" customHeight="1">
      <c r="A18" s="122" t="inlineStr">
        <is>
          <t>TRN-SAF-03</t>
        </is>
      </c>
      <c r="B18" s="146" t="inlineStr">
        <is>
          <t>Bloodborne Pathogens &amp; Bodily Fluid Protocol</t>
        </is>
      </c>
      <c r="C18" s="99" t="inlineStr">
        <is>
          <t>All Cleaners, Porters, Techs &amp; Supervisors</t>
        </is>
      </c>
      <c r="D18" s="99" t="inlineStr">
        <is>
          <t>Within 7 Days / Annual</t>
        </is>
      </c>
      <c r="E18" s="99" t="inlineStr">
        <is>
          <t>T&amp;C § 137, 139 &amp; OSHA 1910.1030</t>
        </is>
      </c>
      <c r="F18" s="153" t="inlineStr">
        <is>
          <t>Exposure control plan, universal precautions, bodily fluid spill kits, biohazard red bags, disinfectant contact times (10-min dwell), sharps safety</t>
        </is>
      </c>
      <c r="G18" s="98" t="inlineStr">
        <is>
          <t>Practical Spill Simulation &amp; PPE Don/Doff Exam</t>
        </is>
      </c>
      <c r="H18" s="98" t="inlineStr">
        <is>
          <t>Texas DSHS Bloodborne Pathogen Certificate</t>
        </is>
      </c>
    </row>
    <row r="19" ht="42" customHeight="1">
      <c r="A19" s="122" t="inlineStr">
        <is>
          <t>TRN-SAF-04</t>
        </is>
      </c>
      <c r="B19" s="146" t="inlineStr">
        <is>
          <t>Restroom Barrier Protection &amp; Safety Signage</t>
        </is>
      </c>
      <c r="C19" s="99" t="inlineStr">
        <is>
          <t>All Day Porters &amp; Restroom Cleaners</t>
        </is>
      </c>
      <c r="D19" s="99" t="inlineStr">
        <is>
          <t>Within 7 Days / Annual</t>
        </is>
      </c>
      <c r="E19" s="99" t="inlineStr">
        <is>
          <t>T&amp;C § 134 &amp; SOW § 197</t>
        </is>
      </c>
      <c r="F19" s="153" t="inlineStr">
        <is>
          <t>Mandatory placement of 'Closed for Cleaning' tension poles across restroom doorways; wet floor caution cones; prohibition of propping doors open with trash cans</t>
        </is>
      </c>
      <c r="G19" s="98" t="inlineStr">
        <is>
          <t>On-Site Barrier Setup Verification</t>
        </is>
      </c>
      <c r="H19" s="98" t="inlineStr">
        <is>
          <t>Field Supervisor Inspection Sign-Off</t>
        </is>
      </c>
    </row>
    <row r="20" ht="42" customHeight="1">
      <c r="A20" s="122" t="inlineStr">
        <is>
          <t>TRN-SAF-05</t>
        </is>
      </c>
      <c r="B20" s="146" t="inlineStr">
        <is>
          <t>Hazardous &amp; Prohibited Materials Recognition</t>
        </is>
      </c>
      <c r="C20" s="99" t="inlineStr">
        <is>
          <t>All Cleaners, Porters, Techs &amp; Supervisors</t>
        </is>
      </c>
      <c r="D20" s="99" t="inlineStr">
        <is>
          <t>Within 7 Days / Annual</t>
        </is>
      </c>
      <c r="E20" s="99" t="inlineStr">
        <is>
          <t>T&amp;C § 135</t>
        </is>
      </c>
      <c r="F20" s="153" t="inlineStr">
        <is>
          <t>Recognizing hazardous waste, asbestos tiles, biohazard lab chemicals not covered by contract; reporting protocols for suspicious or dangerous spills</t>
        </is>
      </c>
      <c r="G20" s="98" t="inlineStr">
        <is>
          <t>Visual Hazard Identification Quiz</t>
        </is>
      </c>
      <c r="H20" s="98" t="inlineStr">
        <is>
          <t>Hazard Recognition Acknowledgment Form</t>
        </is>
      </c>
    </row>
    <row r="21" ht="42" customHeight="1">
      <c r="A21" s="122" t="inlineStr">
        <is>
          <t>TRN-SAF-06</t>
        </is>
      </c>
      <c r="B21" s="146" t="inlineStr">
        <is>
          <t>First Aid, Adult CPR &amp; AED Certification</t>
        </is>
      </c>
      <c r="C21" s="99" t="inlineStr">
        <is>
          <t>All Non-Cleaning Supervisors &amp; Shift Leads</t>
        </is>
      </c>
      <c r="D21" s="99" t="inlineStr">
        <is>
          <t>Before On-Site Placement / Biennial</t>
        </is>
      </c>
      <c r="E21" s="99" t="inlineStr">
        <is>
          <t>T&amp;C § 140</t>
        </is>
      </c>
      <c r="F21" s="153" t="inlineStr">
        <is>
          <t>American Red Cross / AHA certified First Aid, CPR, and automated external defibrillator (AED) operation for campus medical emergencies</t>
        </is>
      </c>
      <c r="G21" s="98" t="inlineStr">
        <is>
          <t>AHA / Red Cross Certified Practical Skills Exam</t>
        </is>
      </c>
      <c r="H21" s="98" t="inlineStr">
        <is>
          <t>Official AHA / Red Cross First Aid &amp; AED Card</t>
        </is>
      </c>
    </row>
    <row r="22" ht="46" customHeight="1">
      <c r="A22" s="165" t="inlineStr">
        <is>
          <t>⚠️ MANDATORY FIRST AID CLAUSE (T&amp;C § 140): Collin College mandates that all non-cleaning supervisors have active First Aid certification. No shift leader may supervise campus cleaning without current First Aid, CPR, and AED credentials on file with District Facilities Operations.</t>
        </is>
      </c>
      <c r="B22" s="80" t="n"/>
      <c r="C22" s="80" t="n"/>
      <c r="D22" s="80" t="n"/>
      <c r="E22" s="80" t="n"/>
      <c r="F22" s="80" t="n"/>
      <c r="G22" s="80" t="n"/>
      <c r="H22" s="80" t="n"/>
    </row>
    <row r="23" ht="14" customHeight="1">
      <c r="A23" t="inlineStr"/>
    </row>
    <row r="24" ht="28" customHeight="1">
      <c r="A24" s="173" t="inlineStr">
        <is>
          <t>2.0 CAMPUS SECURITY, KEY CONTROL &amp; LEGAL COMPLIANCE (DISTRICT T&amp;C § 142–152)</t>
        </is>
      </c>
    </row>
    <row r="25" ht="44" customHeight="1">
      <c r="A25" s="130" t="inlineStr">
        <is>
          <t>Security compliance is strictly enforced under Collin College Special Terms &amp; Conditions Section 142–152. All custodial staff must complete training in master key custody, electronic access cards, biometric fingerprint verification, and strict zero-tolerance policies regarding weapons, drugs, alcohol, tobacco, and unauthorized campus visitors.</t>
        </is>
      </c>
    </row>
    <row r="26" ht="28" customHeight="1">
      <c r="A26" s="59" t="inlineStr">
        <is>
          <t>Module ID</t>
        </is>
      </c>
      <c r="B26" s="59" t="inlineStr">
        <is>
          <t>Training Course Title</t>
        </is>
      </c>
      <c r="C26" s="59" t="inlineStr">
        <is>
          <t>Required Job Roles</t>
        </is>
      </c>
      <c r="D26" s="59" t="inlineStr">
        <is>
          <t>Completion Timeline</t>
        </is>
      </c>
      <c r="E26" s="59" t="inlineStr">
        <is>
          <t>Contract &amp; Legal Rule</t>
        </is>
      </c>
      <c r="F26" s="59" t="inlineStr">
        <is>
          <t>Training Content &amp; Core Competencies</t>
        </is>
      </c>
      <c r="G26" s="59" t="inlineStr">
        <is>
          <t>Verification &amp; Testing</t>
        </is>
      </c>
      <c r="H26" s="59" t="inlineStr">
        <is>
          <t>Compliance Proof &amp; Deliverable</t>
        </is>
      </c>
    </row>
    <row r="27" ht="42" customHeight="1">
      <c r="A27" s="122" t="inlineStr">
        <is>
          <t>TRN-SEC-01</t>
        </is>
      </c>
      <c r="B27" s="146" t="inlineStr">
        <is>
          <t>Zero-Tolerance Weapons &amp; Substance-Free Campus</t>
        </is>
      </c>
      <c r="C27" s="99" t="inlineStr">
        <is>
          <t>All Cleaners, Porters, Techs &amp; Supervisors</t>
        </is>
      </c>
      <c r="D27" s="99" t="inlineStr">
        <is>
          <t>Day 1 Orientation / Annual</t>
        </is>
      </c>
      <c r="E27" s="99" t="inlineStr">
        <is>
          <t>T&amp;C § 143, 144 &amp; 151</t>
        </is>
      </c>
      <c r="F27" s="153" t="inlineStr">
        <is>
          <t>Strict ban on firearms, knives, or dangerous weapons on campus; alcohol and illegal drug prohibition; 100% tobacco-free and vape-free campus policy (including parking lots)</t>
        </is>
      </c>
      <c r="G27" s="98" t="inlineStr">
        <is>
          <t>Signed Drug &amp; Weapons Policy Acknowledgment</t>
        </is>
      </c>
      <c r="H27" s="98" t="inlineStr">
        <is>
          <t>Signed District Security Acknowledgment</t>
        </is>
      </c>
    </row>
    <row r="28" ht="44" customHeight="1">
      <c r="A28" s="122" t="inlineStr">
        <is>
          <t>TRN-SEC-02</t>
        </is>
      </c>
      <c r="B28" s="146" t="inlineStr">
        <is>
          <t>Master Key Control &amp; Electronic Access Protocols</t>
        </is>
      </c>
      <c r="C28" s="99" t="inlineStr">
        <is>
          <t>All Shift Supervisors &amp; Day Porters</t>
        </is>
      </c>
      <c r="D28" s="99" t="inlineStr">
        <is>
          <t>Day 1 Orientation / Semi-Annual</t>
        </is>
      </c>
      <c r="E28" s="99" t="inlineStr">
        <is>
          <t>T&amp;C § 145–149</t>
        </is>
      </c>
      <c r="F28" s="153" t="inlineStr">
        <is>
          <t>Key ring management; zero key duplication; keys never left in doors or on janitor carts; locking all exterior doors before leaving; $100 penalty per lost key; daily police desk key return</t>
        </is>
      </c>
      <c r="G28" s="98" t="inlineStr">
        <is>
          <t>Key Control Protocol Walkthrough &amp; Audit</t>
        </is>
      </c>
      <c r="H28" s="98" t="inlineStr">
        <is>
          <t>Daily Key Log Sheet Signed at Police Desk</t>
        </is>
      </c>
    </row>
    <row r="29" ht="42" customHeight="1">
      <c r="A29" s="122" t="inlineStr">
        <is>
          <t>TRN-SEC-03</t>
        </is>
      </c>
      <c r="B29" s="146" t="inlineStr">
        <is>
          <t>Biometric Fingerprint Clock &amp; Police Desk Sign-In</t>
        </is>
      </c>
      <c r="C29" s="99" t="inlineStr">
        <is>
          <t>All Cleaners, Porters, Techs &amp; Supervisors</t>
        </is>
      </c>
      <c r="D29" s="99" t="inlineStr">
        <is>
          <t>Day 1 Orientation / Refresher</t>
        </is>
      </c>
      <c r="E29" s="99" t="inlineStr">
        <is>
          <t>SOW § 202 &amp; T&amp;C § 150</t>
        </is>
      </c>
      <c r="F29" s="153" t="inlineStr">
        <is>
          <t>Mandatory dual time-recording: scanning fingerprint at Building S biometric clock at shift start/end, plus signing the official paper attendance roster at the Collin College Police desk</t>
        </is>
      </c>
      <c r="G29" s="98" t="inlineStr">
        <is>
          <t>Live Biometric Punch &amp; Signature Verification</t>
        </is>
      </c>
      <c r="H29" s="98" t="inlineStr">
        <is>
          <t>Monthly Biometric Audit Report for Invoicing</t>
        </is>
      </c>
    </row>
    <row r="30" ht="42" customHeight="1">
      <c r="A30" s="122" t="inlineStr">
        <is>
          <t>TRN-SEC-04</t>
        </is>
      </c>
      <c r="B30" s="146" t="inlineStr">
        <is>
          <t>Non-Employee Campus Access &amp; Family Ban Policy</t>
        </is>
      </c>
      <c r="C30" s="99" t="inlineStr">
        <is>
          <t>All Cleaners, Porters, Techs &amp; Supervisors</t>
        </is>
      </c>
      <c r="D30" s="99" t="inlineStr">
        <is>
          <t>Day 1 Orientation / Annual</t>
        </is>
      </c>
      <c r="E30" s="99" t="inlineStr">
        <is>
          <t>T&amp;C § 152</t>
        </is>
      </c>
      <c r="F30" s="153" t="inlineStr">
        <is>
          <t>Strict prohibition of family members, children, friends, or non-badged individuals accompanying workers on campus during shifts; unauthorized visitors grounds for immediate removal</t>
        </is>
      </c>
      <c r="G30" s="98" t="inlineStr">
        <is>
          <t>Signed Non-Employee Policy Form</t>
        </is>
      </c>
      <c r="H30" s="98" t="inlineStr">
        <is>
          <t>HR File Security Acknowledgment Document</t>
        </is>
      </c>
    </row>
    <row r="31" ht="42" customHeight="1">
      <c r="A31" s="122" t="inlineStr">
        <is>
          <t>TRN-SEC-05</t>
        </is>
      </c>
      <c r="B31" s="146" t="inlineStr">
        <is>
          <t>Uniform Standards, Photo Badging &amp; Student Protection</t>
        </is>
      </c>
      <c r="C31" s="99" t="inlineStr">
        <is>
          <t>All Cleaners, Porters, Techs &amp; Supervisors</t>
        </is>
      </c>
      <c r="D31" s="99" t="inlineStr">
        <is>
          <t>Day 1 Orientation / Annual</t>
        </is>
      </c>
      <c r="E31" s="99" t="inlineStr">
        <is>
          <t>T&amp;C § 178 &amp; Texas Ed Code § 22.0834</t>
        </is>
      </c>
      <c r="F31" s="153" t="inlineStr">
        <is>
          <t>Wearing clean company uniform with visible embroidered logo; displaying Collin College photo ID badge at all times; maintaining professional student/faculty boundaries; zero fraternization</t>
        </is>
      </c>
      <c r="G31" s="98" t="inlineStr">
        <is>
          <t>Visual Uniform &amp; Badge Inspection on Shift</t>
        </is>
      </c>
      <c r="H31" s="98" t="inlineStr">
        <is>
          <t>FAST DPS/FBI Fingerprint Clearance Record</t>
        </is>
      </c>
    </row>
    <row r="32" ht="46" customHeight="1">
      <c r="A32" s="165" t="inlineStr">
        <is>
          <t>🔒 ZERO-TOLERANCE KEY &amp; ACCESS SECURITY: Leaving keys in doors or failing to lock exterior doors creates immediate campus safety risks. Any unreturned key triggers an automatic $100.00 contractual penalty and re-keying liability per District T&amp;C § 149.</t>
        </is>
      </c>
      <c r="B32" s="80" t="n"/>
      <c r="C32" s="80" t="n"/>
      <c r="D32" s="80" t="n"/>
      <c r="E32" s="80" t="n"/>
      <c r="F32" s="80" t="n"/>
      <c r="G32" s="80" t="n"/>
      <c r="H32" s="80" t="n"/>
    </row>
    <row r="33" ht="14" customHeight="1">
      <c r="A33" t="inlineStr"/>
    </row>
    <row r="34" ht="28" customHeight="1">
      <c r="A34" s="173" t="inlineStr">
        <is>
          <t>3.0 TECHNICAL CLEANING, EQUIPMENT OPERATION &amp; APPA LEVEL 2 STANDARDS (SOW § 2–126 &amp; § 182–205)</t>
        </is>
      </c>
    </row>
    <row r="35" ht="44" customHeight="1">
      <c r="A35" s="130" t="inlineStr">
        <is>
          <t>Technical excellence ensures Collin College maintains APPA Level 2 'Ordinary Tidiness' every morning. Staff are certified in color-coded microfiber sanitization, heavy machinery operation, deep floor stripping and waxing, and the mandatory 20-minute rapid deficiency correction protocol.</t>
        </is>
      </c>
    </row>
    <row r="36" ht="28" customHeight="1">
      <c r="A36" s="59" t="inlineStr">
        <is>
          <t>Module ID</t>
        </is>
      </c>
      <c r="B36" s="59" t="inlineStr">
        <is>
          <t>Training Course Title</t>
        </is>
      </c>
      <c r="C36" s="59" t="inlineStr">
        <is>
          <t>Required Job Roles</t>
        </is>
      </c>
      <c r="D36" s="59" t="inlineStr">
        <is>
          <t>Completion Timeline</t>
        </is>
      </c>
      <c r="E36" s="59" t="inlineStr">
        <is>
          <t>Contract &amp; Legal Rule</t>
        </is>
      </c>
      <c r="F36" s="59" t="inlineStr">
        <is>
          <t>Training Content &amp; Core Competencies</t>
        </is>
      </c>
      <c r="G36" s="59" t="inlineStr">
        <is>
          <t>Verification &amp; Testing</t>
        </is>
      </c>
      <c r="H36" s="59" t="inlineStr">
        <is>
          <t>Compliance Proof &amp; Deliverable</t>
        </is>
      </c>
    </row>
    <row r="37" ht="44" customHeight="1">
      <c r="A37" s="122" t="inlineStr">
        <is>
          <t>TRN-TEC-01</t>
        </is>
      </c>
      <c r="B37" s="146" t="inlineStr">
        <is>
          <t>APPA Level 2 Standards &amp; 20-Minute Correction Protocol</t>
        </is>
      </c>
      <c r="C37" s="99" t="inlineStr">
        <is>
          <t>All Cleaners, Porters, Techs &amp; Supervisors</t>
        </is>
      </c>
      <c r="D37" s="99" t="inlineStr">
        <is>
          <t>Within 14 Days / Quarterly</t>
        </is>
      </c>
      <c r="E37" s="99" t="inlineStr">
        <is>
          <t>SOW § 2, 20 &amp; T&amp;C § 159</t>
        </is>
      </c>
      <c r="F37" s="153" t="inlineStr">
        <is>
          <t>APPA Level 2 visual inspection rubric: spotless washrooms, stain-free surfaces, dust-free corners; 20-minute rapid response to customer complaints before 2-hour District clawbacks apply</t>
        </is>
      </c>
      <c r="G37" s="98" t="inlineStr">
        <is>
          <t>Mock Inspection Audit Across 10 Buildings</t>
        </is>
      </c>
      <c r="H37" s="98" t="inlineStr">
        <is>
          <t>Weekly APPA Level 2 Digitized QA Inspection Form</t>
        </is>
      </c>
    </row>
    <row r="38" ht="44" customHeight="1">
      <c r="A38" s="122" t="inlineStr">
        <is>
          <t>TRN-TEC-02</t>
        </is>
      </c>
      <c r="B38" s="146" t="inlineStr">
        <is>
          <t>Restroom Sanitization &amp; Microfiber Color-Coding</t>
        </is>
      </c>
      <c r="C38" s="99" t="inlineStr">
        <is>
          <t>All Day Porters &amp; Restroom Cleaners</t>
        </is>
      </c>
      <c r="D38" s="99" t="inlineStr">
        <is>
          <t>Within 7 Days / Semi-Annual</t>
        </is>
      </c>
      <c r="E38" s="99" t="inlineStr">
        <is>
          <t>SOW Appendix A</t>
        </is>
      </c>
      <c r="F38" s="153" t="inlineStr">
        <is>
          <t>Color-coded microfiber cross-contamination system (Red: Toilets/Urinals; Yellow: Sinks/Counters; Blue: Mirrors/Glass); dual-chamber mop buckets; disinfectant dwell times; dispenser refills</t>
        </is>
      </c>
      <c r="G38" s="98" t="inlineStr">
        <is>
          <t>Fluorescent Marking Gel Restroom Inspection</t>
        </is>
      </c>
      <c r="H38" s="98" t="inlineStr">
        <is>
          <t>Daily Restroom Restocking &amp; Cleaning Checklist</t>
        </is>
      </c>
    </row>
    <row r="39" ht="44" customHeight="1">
      <c r="A39" s="122" t="inlineStr">
        <is>
          <t>TRN-TEC-03</t>
        </is>
      </c>
      <c r="B39" s="146" t="inlineStr">
        <is>
          <t>Commercial Machinery Operation &amp; Preventative Care</t>
        </is>
      </c>
      <c r="C39" s="99" t="inlineStr">
        <is>
          <t>Floor Technicians &amp; Machine Operators</t>
        </is>
      </c>
      <c r="D39" s="99" t="inlineStr">
        <is>
          <t>Before Operating / Annual</t>
        </is>
      </c>
      <c r="E39" s="99" t="inlineStr">
        <is>
          <t>SOW § 182–205</t>
        </is>
      </c>
      <c r="F39" s="153" t="inlineStr">
        <is>
          <t>Operating 20" walk-behind scrubbers, 28" riding auto-scrubbers, 2000 RPM burnishers, commercial HEPA backpack vacuums, carpet extractors; daily cleanout, pad centering, cord/battery care</t>
        </is>
      </c>
      <c r="G39" s="98" t="inlineStr">
        <is>
          <t>Hands-On Machinery Driving &amp; Safety Test</t>
        </is>
      </c>
      <c r="H39" s="98" t="inlineStr">
        <is>
          <t>HWB Machine Operator Certification Card</t>
        </is>
      </c>
    </row>
    <row r="40" ht="44" customHeight="1">
      <c r="A40" s="122" t="inlineStr">
        <is>
          <t>TRN-TEC-04</t>
        </is>
      </c>
      <c r="B40" s="146" t="inlineStr">
        <is>
          <t>Deep Floor Care: Strip-and-Wax &amp; Carpet Extraction</t>
        </is>
      </c>
      <c r="C40" s="99" t="inlineStr">
        <is>
          <t>Dedicated Night Floor Technicians</t>
        </is>
      </c>
      <c r="D40" s="99" t="inlineStr">
        <is>
          <t>Before Floor Projects / Semi-Annual</t>
        </is>
      </c>
      <c r="E40" s="99" t="inlineStr">
        <is>
          <t>SOW § 46–47, 76</t>
        </is>
      </c>
      <c r="F40" s="153" t="inlineStr">
        <is>
          <t>Proper floor stripper dilution, baseboard edging, wet vacuum recovery, neutralizing rinse, 4-coat high-solid acrylic wax application; HOST dry carpet extraction and spot treatment</t>
        </is>
      </c>
      <c r="G40" s="98" t="inlineStr">
        <is>
          <t>Gloss Meter Reflectivity Test (Minimum 80 Gloss)</t>
        </is>
      </c>
      <c r="H40" s="98" t="inlineStr">
        <is>
          <t>Project Sign-Off Sheet Signed by District Staff</t>
        </is>
      </c>
    </row>
    <row r="41" ht="46" customHeight="1">
      <c r="A41" s="165" t="inlineStr">
        <is>
          <t>🎓 TRAINING RECORD RETENTION: Complete digital training logs, employee signatures, and practical test scores must be maintained in the central custodial staging office (Building S) and submitted to Collin College Facilities Operations upon request per SOW § 181.</t>
        </is>
      </c>
      <c r="B41" s="80" t="n"/>
      <c r="C41" s="80" t="n"/>
      <c r="D41" s="80" t="n"/>
      <c r="E41" s="80" t="n"/>
      <c r="F41" s="80" t="n"/>
      <c r="G41" s="80" t="n"/>
      <c r="H41" s="80" t="n"/>
    </row>
    <row r="42" ht="14" customHeight="1">
      <c r="A42" t="inlineStr"/>
    </row>
    <row r="43" ht="48" customHeight="1">
      <c r="A43" s="165" t="inlineStr">
        <is>
          <t>🤝 INSTITUTIONAL QUALITY COMMITMENT: Every cleaner and technician on Collin College Frisco Campus completes 100% of these mandatory modules before working unsupervised. This guarantees a safe campus, zero OSHA violations, verified security compliance, and an immaculate APPA Level 2 learning environment for students and faculty every single day.</t>
        </is>
      </c>
      <c r="B43" s="80" t="n"/>
      <c r="C43" s="80" t="n"/>
      <c r="D43" s="80" t="n"/>
      <c r="E43" s="80" t="n"/>
      <c r="F43" s="80" t="n"/>
      <c r="G43" s="80" t="n"/>
      <c r="H43" s="80" t="n"/>
    </row>
  </sheetData>
  <mergeCells count="38">
    <mergeCell ref="F5:H5"/>
    <mergeCell ref="A24:H24"/>
    <mergeCell ref="A11:B11"/>
    <mergeCell ref="G11:H11"/>
    <mergeCell ref="A1:H1"/>
    <mergeCell ref="C10:D10"/>
    <mergeCell ref="E10:F10"/>
    <mergeCell ref="A25:H25"/>
    <mergeCell ref="G10:H10"/>
    <mergeCell ref="A41:H41"/>
    <mergeCell ref="C9:D9"/>
    <mergeCell ref="E9:F9"/>
    <mergeCell ref="B6:D6"/>
    <mergeCell ref="A12:H12"/>
    <mergeCell ref="A3:H3"/>
    <mergeCell ref="B5:D5"/>
    <mergeCell ref="C11:D11"/>
    <mergeCell ref="A2:H2"/>
    <mergeCell ref="B4:D4"/>
    <mergeCell ref="E11:F11"/>
    <mergeCell ref="A42:H42"/>
    <mergeCell ref="F4:H4"/>
    <mergeCell ref="A14:H14"/>
    <mergeCell ref="A33:H33"/>
    <mergeCell ref="A23:H23"/>
    <mergeCell ref="B7:D7"/>
    <mergeCell ref="A32:H32"/>
    <mergeCell ref="A8:H8"/>
    <mergeCell ref="A22:H22"/>
    <mergeCell ref="F6:H6"/>
    <mergeCell ref="A35:H35"/>
    <mergeCell ref="A43:H43"/>
    <mergeCell ref="A10:B10"/>
    <mergeCell ref="A13:H13"/>
    <mergeCell ref="F7:H7"/>
    <mergeCell ref="A9:B9"/>
    <mergeCell ref="G9:H9"/>
    <mergeCell ref="A34:H34"/>
  </mergeCells>
  <printOptions horizontalCentered="1"/>
  <pageMargins left="0.25" right="0.25" top="0.35" bottom="0.35" header="0.15" footer="0.15"/>
  <pageSetup orientation="landscape" paperSize="1" fitToHeight="0" fitToWidth="1"/>
  <rowBreaks count="2" manualBreakCount="2">
    <brk id="23" min="0" max="16383" man="1"/>
    <brk id="33" min="0" max="16383" man="1"/>
  </rowBreaks>
</worksheet>
</file>

<file path=xl/worksheets/sheet5.xml><?xml version="1.0" encoding="utf-8"?>
<worksheet xmlns="http://schemas.openxmlformats.org/spreadsheetml/2006/main">
  <sheetPr>
    <outlinePr summaryBelow="1" summaryRight="1"/>
    <pageSetUpPr fitToPage="1"/>
  </sheetPr>
  <dimension ref="A1:M25"/>
  <sheetViews>
    <sheetView showGridLines="1" workbookViewId="0">
      <selection activeCell="A1" sqref="A1"/>
    </sheetView>
  </sheetViews>
  <sheetFormatPr baseColWidth="8" defaultRowHeight="15"/>
  <cols>
    <col width="8" customWidth="1" min="1" max="1"/>
    <col width="24" customWidth="1" min="2" max="2"/>
    <col width="38" customWidth="1" min="3" max="3"/>
    <col width="16" customWidth="1" min="4" max="4"/>
    <col width="18" customWidth="1" min="5" max="5"/>
    <col width="18" customWidth="1" min="6" max="6"/>
    <col width="18" customWidth="1" min="7" max="7"/>
    <col width="16" customWidth="1" min="8" max="8"/>
    <col width="14" customWidth="1" min="9" max="9"/>
    <col width="14" customWidth="1" min="10" max="10"/>
    <col width="36" customWidth="1" min="11" max="11"/>
    <col width="18" customWidth="1" min="12" max="12"/>
    <col width="24" customWidth="1" min="13" max="13"/>
  </cols>
  <sheetData>
    <row r="1" ht="28" customHeight="1">
      <c r="A1" s="1" t="inlineStr">
        <is>
          <t>HWB CLEANING SERVICES LLC — PHYSICAL TAKEOFF &amp; SPATIAL SECTOR AUDIT</t>
        </is>
      </c>
    </row>
    <row r="2" ht="22" customHeight="1">
      <c r="A2" s="2" t="inlineStr">
        <is>
          <t>COLLIN COLLEGE FRISCO CAMPUS (10 BUILDINGS / 478,418 CLEANABLE SF / 3 LOGISTICAL SECTORS)</t>
        </is>
      </c>
    </row>
    <row r="4" ht="26" customHeight="1">
      <c r="A4" s="7" t="inlineStr">
        <is>
          <t>Code</t>
        </is>
      </c>
      <c r="B4" s="7" t="inlineStr">
        <is>
          <t>Campus Sector</t>
        </is>
      </c>
      <c r="C4" s="7" t="inlineStr">
        <is>
          <t>Building Name</t>
        </is>
      </c>
      <c r="D4" s="7" t="inlineStr">
        <is>
          <t>Cleanable SF</t>
        </is>
      </c>
      <c r="E4" s="7" t="inlineStr">
        <is>
          <t>Classrooms / Labs</t>
        </is>
      </c>
      <c r="F4" s="7" t="inlineStr">
        <is>
          <t>Offices &amp; Conf</t>
        </is>
      </c>
      <c r="G4" s="7" t="inlineStr">
        <is>
          <t>Restroom Banks</t>
        </is>
      </c>
      <c r="H4" s="7" t="inlineStr">
        <is>
          <t>Total Fixtures</t>
        </is>
      </c>
      <c r="I4" s="7" t="inlineStr">
        <is>
          <t>Showers</t>
        </is>
      </c>
      <c r="J4" s="7" t="inlineStr">
        <is>
          <t>Lockers</t>
        </is>
      </c>
      <c r="K4" s="7" t="inlineStr">
        <is>
          <t>Day Porter Assigned</t>
        </is>
      </c>
      <c r="L4" s="7" t="inlineStr">
        <is>
          <t>Night Crew FTE</t>
        </is>
      </c>
      <c r="M4" s="7" t="inlineStr">
        <is>
          <t>Nightly Prod (SF/Hr)</t>
        </is>
      </c>
    </row>
    <row r="5" ht="22" customHeight="1">
      <c r="A5" s="10" t="inlineStr">
        <is>
          <t>F</t>
        </is>
      </c>
      <c r="B5" s="28" t="inlineStr">
        <is>
          <t>Sector Alpha (Spine)</t>
        </is>
      </c>
      <c r="C5" s="9" t="inlineStr">
        <is>
          <t>Founders Hall</t>
        </is>
      </c>
      <c r="D5" s="29" t="n">
        <v>92105</v>
      </c>
      <c r="E5" s="10" t="n">
        <v>32</v>
      </c>
      <c r="F5" s="10" t="n">
        <v>45</v>
      </c>
      <c r="G5" s="10" t="n">
        <v>8</v>
      </c>
      <c r="H5" s="10" t="n">
        <v>36</v>
      </c>
      <c r="I5" s="10" t="n">
        <v>0</v>
      </c>
      <c r="J5" s="10" t="n">
        <v>0</v>
      </c>
      <c r="K5" s="9" t="inlineStr">
        <is>
          <t>Porter 1 &amp; 2 (Shared)</t>
        </is>
      </c>
      <c r="L5" s="10" t="n">
        <v>2.5</v>
      </c>
      <c r="M5" s="29" t="n">
        <v>5263</v>
      </c>
    </row>
    <row r="6" ht="22" customHeight="1">
      <c r="A6" s="10" t="inlineStr">
        <is>
          <t>U</t>
        </is>
      </c>
      <c r="B6" s="28" t="inlineStr">
        <is>
          <t>Sector Alpha (Spine)</t>
        </is>
      </c>
      <c r="C6" s="9" t="inlineStr">
        <is>
          <t>University Hall</t>
        </is>
      </c>
      <c r="D6" s="29" t="n">
        <v>84320</v>
      </c>
      <c r="E6" s="10" t="n">
        <v>28</v>
      </c>
      <c r="F6" s="10" t="n">
        <v>50</v>
      </c>
      <c r="G6" s="10" t="n">
        <v>7</v>
      </c>
      <c r="H6" s="10" t="n">
        <v>32</v>
      </c>
      <c r="I6" s="10" t="n">
        <v>0</v>
      </c>
      <c r="J6" s="10" t="n">
        <v>0</v>
      </c>
      <c r="K6" s="9" t="inlineStr">
        <is>
          <t>Porter 1 &amp; 2 (Shared)</t>
        </is>
      </c>
      <c r="L6" s="10" t="n">
        <v>2</v>
      </c>
      <c r="M6" s="29" t="n">
        <v>6023</v>
      </c>
    </row>
    <row r="7" ht="22" customHeight="1">
      <c r="A7" s="10" t="inlineStr">
        <is>
          <t>H</t>
        </is>
      </c>
      <c r="B7" s="28" t="inlineStr">
        <is>
          <t>Sector Bravo (Hub)</t>
        </is>
      </c>
      <c r="C7" s="9" t="inlineStr">
        <is>
          <t>Heritage Hall</t>
        </is>
      </c>
      <c r="D7" s="29" t="n">
        <v>78450</v>
      </c>
      <c r="E7" s="10" t="n">
        <v>24</v>
      </c>
      <c r="F7" s="10" t="n">
        <v>40</v>
      </c>
      <c r="G7" s="10" t="n">
        <v>6</v>
      </c>
      <c r="H7" s="10" t="n">
        <v>28</v>
      </c>
      <c r="I7" s="10" t="n">
        <v>0</v>
      </c>
      <c r="J7" s="10" t="n">
        <v>0</v>
      </c>
      <c r="K7" s="9" t="inlineStr">
        <is>
          <t>Porter 3 (Dedicated)</t>
        </is>
      </c>
      <c r="L7" s="10" t="n">
        <v>2</v>
      </c>
      <c r="M7" s="29" t="n">
        <v>5604</v>
      </c>
    </row>
    <row r="8" ht="22" customHeight="1">
      <c r="A8" s="10" t="inlineStr">
        <is>
          <t>L</t>
        </is>
      </c>
      <c r="B8" s="28" t="inlineStr">
        <is>
          <t>Sector Charlie (Special)</t>
        </is>
      </c>
      <c r="C8" s="9" t="inlineStr">
        <is>
          <t>Library &amp; Learning Resource Center</t>
        </is>
      </c>
      <c r="D8" s="29" t="n">
        <v>62180</v>
      </c>
      <c r="E8" s="10" t="n">
        <v>8</v>
      </c>
      <c r="F8" s="10" t="n">
        <v>25</v>
      </c>
      <c r="G8" s="10" t="n">
        <v>4</v>
      </c>
      <c r="H8" s="10" t="n">
        <v>18</v>
      </c>
      <c r="I8" s="10" t="n">
        <v>0</v>
      </c>
      <c r="J8" s="10" t="n">
        <v>0</v>
      </c>
      <c r="K8" s="9" t="inlineStr">
        <is>
          <t>Porter 4 (Dedicated)</t>
        </is>
      </c>
      <c r="L8" s="10" t="n">
        <v>1.5</v>
      </c>
      <c r="M8" s="29" t="n">
        <v>5922</v>
      </c>
    </row>
    <row r="9" ht="22" customHeight="1">
      <c r="A9" s="10" t="inlineStr">
        <is>
          <t>J</t>
        </is>
      </c>
      <c r="B9" s="28" t="inlineStr">
        <is>
          <t>Sector Charlie (Special)</t>
        </is>
      </c>
      <c r="C9" s="9" t="inlineStr">
        <is>
          <t>Lawler Hall</t>
        </is>
      </c>
      <c r="D9" s="29" t="n">
        <v>48260</v>
      </c>
      <c r="E9" s="10" t="n">
        <v>20</v>
      </c>
      <c r="F9" s="10" t="n">
        <v>18</v>
      </c>
      <c r="G9" s="10" t="n">
        <v>4</v>
      </c>
      <c r="H9" s="10" t="n">
        <v>18</v>
      </c>
      <c r="I9" s="10" t="n">
        <v>0</v>
      </c>
      <c r="J9" s="10" t="n">
        <v>0</v>
      </c>
      <c r="K9" s="9" t="inlineStr">
        <is>
          <t>Porter 4 (Dedicated)</t>
        </is>
      </c>
      <c r="L9" s="10" t="n">
        <v>1.2</v>
      </c>
      <c r="M9" s="29" t="n">
        <v>5745</v>
      </c>
    </row>
    <row r="10" ht="22" customHeight="1">
      <c r="A10" s="10" t="inlineStr">
        <is>
          <t>A</t>
        </is>
      </c>
      <c r="B10" s="28" t="inlineStr">
        <is>
          <t>Sector Charlie (Athletic)</t>
        </is>
      </c>
      <c r="C10" s="9" t="inlineStr">
        <is>
          <t>Alumni Hall &amp; Physical Education</t>
        </is>
      </c>
      <c r="D10" s="29" t="n">
        <v>38940</v>
      </c>
      <c r="E10" s="10" t="n">
        <v>4</v>
      </c>
      <c r="F10" s="10" t="n">
        <v>12</v>
      </c>
      <c r="G10" s="10" t="n">
        <v>4</v>
      </c>
      <c r="H10" s="10" t="n">
        <v>24</v>
      </c>
      <c r="I10" s="10" t="n">
        <v>16</v>
      </c>
      <c r="J10" s="10" t="n">
        <v>180</v>
      </c>
      <c r="K10" s="9" t="inlineStr">
        <is>
          <t>Porter 4 (Dedicated)</t>
        </is>
      </c>
      <c r="L10" s="10" t="n">
        <v>1.2</v>
      </c>
      <c r="M10" s="29" t="n">
        <v>4636</v>
      </c>
    </row>
    <row r="11" ht="22" customHeight="1">
      <c r="A11" s="10" t="inlineStr">
        <is>
          <t>C</t>
        </is>
      </c>
      <c r="B11" s="28" t="inlineStr">
        <is>
          <t>Sector Bravo (Hub)</t>
        </is>
      </c>
      <c r="C11" s="9" t="inlineStr">
        <is>
          <t>Student Center &amp; Cafeteria</t>
        </is>
      </c>
      <c r="D11" s="29" t="n">
        <v>32150</v>
      </c>
      <c r="E11" s="10" t="n">
        <v>6</v>
      </c>
      <c r="F11" s="10" t="n">
        <v>15</v>
      </c>
      <c r="G11" s="10" t="n">
        <v>4</v>
      </c>
      <c r="H11" s="10" t="n">
        <v>16</v>
      </c>
      <c r="I11" s="10" t="n">
        <v>0</v>
      </c>
      <c r="J11" s="10" t="n">
        <v>0</v>
      </c>
      <c r="K11" s="9" t="inlineStr">
        <is>
          <t>Porter 3 (Dedicated)</t>
        </is>
      </c>
      <c r="L11" s="10" t="n">
        <v>0.8</v>
      </c>
      <c r="M11" s="29" t="n">
        <v>5741</v>
      </c>
    </row>
    <row r="12" ht="22" customHeight="1">
      <c r="A12" s="10" t="inlineStr">
        <is>
          <t>IT</t>
        </is>
      </c>
      <c r="B12" s="28" t="inlineStr">
        <is>
          <t>Sector Bravo (Hub)</t>
        </is>
      </c>
      <c r="C12" s="9" t="inlineStr">
        <is>
          <t>Information Technology Infrastructure</t>
        </is>
      </c>
      <c r="D12" s="29" t="n">
        <v>18420</v>
      </c>
      <c r="E12" s="10" t="n">
        <v>6</v>
      </c>
      <c r="F12" s="10" t="n">
        <v>10</v>
      </c>
      <c r="G12" s="10" t="n">
        <v>2</v>
      </c>
      <c r="H12" s="10" t="n">
        <v>8</v>
      </c>
      <c r="I12" s="10" t="n">
        <v>0</v>
      </c>
      <c r="J12" s="10" t="n">
        <v>0</v>
      </c>
      <c r="K12" s="9" t="inlineStr">
        <is>
          <t>Porter 3 (Dedicated)</t>
        </is>
      </c>
      <c r="L12" s="10" t="n">
        <v>0.4</v>
      </c>
      <c r="M12" s="29" t="n">
        <v>6579</v>
      </c>
    </row>
    <row r="13" ht="22" customHeight="1">
      <c r="A13" s="10" t="inlineStr">
        <is>
          <t>M</t>
        </is>
      </c>
      <c r="B13" s="28" t="inlineStr">
        <is>
          <t>Operations / Shops</t>
        </is>
      </c>
      <c r="C13" s="9" t="inlineStr">
        <is>
          <t>Facilities Operations &amp; Maintenance</t>
        </is>
      </c>
      <c r="D13" s="29" t="n">
        <v>14200</v>
      </c>
      <c r="E13" s="10" t="n">
        <v>4</v>
      </c>
      <c r="F13" s="10" t="n">
        <v>8</v>
      </c>
      <c r="G13" s="10" t="n">
        <v>1</v>
      </c>
      <c r="H13" s="10" t="n">
        <v>4</v>
      </c>
      <c r="I13" s="10" t="n">
        <v>0</v>
      </c>
      <c r="J13" s="10" t="n">
        <v>0</v>
      </c>
      <c r="K13" s="9" t="inlineStr">
        <is>
          <t>On-Call / Rover</t>
        </is>
      </c>
      <c r="L13" s="10" t="n">
        <v>0.2</v>
      </c>
      <c r="M13" s="29" t="n">
        <v>10143</v>
      </c>
    </row>
    <row r="14" ht="22" customHeight="1">
      <c r="A14" s="10" t="inlineStr">
        <is>
          <t>S</t>
        </is>
      </c>
      <c r="B14" s="28" t="inlineStr">
        <is>
          <t>Operations / 24-7</t>
        </is>
      </c>
      <c r="C14" s="9" t="inlineStr">
        <is>
          <t>Campus Safety &amp; Central Plant</t>
        </is>
      </c>
      <c r="D14" s="29" t="n">
        <v>9393</v>
      </c>
      <c r="E14" s="10" t="n">
        <v>4</v>
      </c>
      <c r="F14" s="10" t="n">
        <v>6</v>
      </c>
      <c r="G14" s="10" t="n">
        <v>1</v>
      </c>
      <c r="H14" s="10" t="n">
        <v>4</v>
      </c>
      <c r="I14" s="10" t="n">
        <v>0</v>
      </c>
      <c r="J14" s="10" t="n">
        <v>0</v>
      </c>
      <c r="K14" s="9" t="inlineStr">
        <is>
          <t>On-Call / Rover</t>
        </is>
      </c>
      <c r="L14" s="10" t="n">
        <v>0.2</v>
      </c>
      <c r="M14" s="29" t="n">
        <v>6709</v>
      </c>
    </row>
    <row r="15" ht="26" customHeight="1">
      <c r="A15" s="14" t="inlineStr"/>
      <c r="B15" s="15" t="inlineStr">
        <is>
          <t>CAMPUS TOTALS</t>
        </is>
      </c>
      <c r="C15" s="16" t="inlineStr">
        <is>
          <t>10 Buildings</t>
        </is>
      </c>
      <c r="D15" s="37">
        <f>SUM(D5:D14)</f>
        <v/>
      </c>
      <c r="E15" s="15">
        <f>SUM(E5:E14)</f>
        <v/>
      </c>
      <c r="F15" s="15">
        <f>SUM(F5:F14)</f>
        <v/>
      </c>
      <c r="G15" s="15">
        <f>SUM(G5:G14)</f>
        <v/>
      </c>
      <c r="H15" s="15">
        <f>SUM(H5:H14)</f>
        <v/>
      </c>
      <c r="I15" s="15">
        <f>SUM(I5:I14)</f>
        <v/>
      </c>
      <c r="J15" s="15">
        <f>SUM(J5:J14)</f>
        <v/>
      </c>
      <c r="K15" s="15" t="inlineStr">
        <is>
          <t>4 Ptr+1 Sup M-F / 2 Ptr+1 Sup Sat / 2 Tech+13 Cln+1 Sup Night (7-Day)</t>
        </is>
      </c>
      <c r="L15" s="15">
        <f>SUM(L5:L14)</f>
        <v/>
      </c>
      <c r="M15" s="37">
        <f>AVERAGE(M5:M14)</f>
        <v/>
      </c>
    </row>
    <row r="17" ht="28" customHeight="1">
      <c r="A17" s="47" t="inlineStr">
        <is>
          <t>⚠️ ESTIMATOR NOTICE: DATA DISCREPANCY / CALIBRATED FOOTPRINT AUDIT (MANDATE 2026-09-04)</t>
        </is>
      </c>
    </row>
    <row r="18" ht="24" customHeight="1">
      <c r="A18" s="48" t="inlineStr">
        <is>
          <t>Data Source / Field Verification</t>
        </is>
      </c>
      <c r="B18" s="49" t="n"/>
      <c r="C18" s="48" t="inlineStr">
        <is>
          <t>Jurisdictional Basis</t>
        </is>
      </c>
      <c r="D18" s="49" t="n"/>
      <c r="E18" s="48" t="inlineStr">
        <is>
          <t>Square Footage</t>
        </is>
      </c>
      <c r="F18" s="48" t="inlineStr">
        <is>
          <t>Empirical Findings, Variance Analysis &amp; Operational Guidance</t>
        </is>
      </c>
      <c r="G18" s="50" t="n"/>
      <c r="H18" s="50" t="n"/>
      <c r="I18" s="50" t="n"/>
      <c r="J18" s="50" t="n"/>
      <c r="K18" s="50" t="n"/>
      <c r="L18" s="50" t="n"/>
      <c r="M18" s="49" t="n"/>
    </row>
    <row r="19" ht="52" customHeight="1">
      <c r="A19" s="51" t="inlineStr">
        <is>
          <t>Public Tax Record (CCAD)</t>
        </is>
      </c>
      <c r="B19" s="49" t="n"/>
      <c r="C19" s="51" t="inlineStr">
        <is>
          <t>Parcel R-3075-00A-001R-1 (90.87 Acres)</t>
        </is>
      </c>
      <c r="D19" s="49" t="n"/>
      <c r="E19" s="52" t="inlineStr">
        <is>
          <t>741,280 GSF</t>
        </is>
      </c>
      <c r="F19" s="51" t="inlineStr">
        <is>
          <t>Total Gross Improvement Footprint (includes multi-level parking garage structure, unconditioned exterior walls, boiler/chiller central plant bays).</t>
        </is>
      </c>
      <c r="G19" s="50" t="n"/>
      <c r="H19" s="50" t="n"/>
      <c r="I19" s="50" t="n"/>
      <c r="J19" s="50" t="n"/>
      <c r="K19" s="50" t="n"/>
      <c r="L19" s="50" t="n"/>
      <c r="M19" s="49" t="n"/>
    </row>
    <row r="20" ht="52" customHeight="1">
      <c r="A20" s="51" t="inlineStr">
        <is>
          <t>District RFP Contract Mandate</t>
        </is>
      </c>
      <c r="B20" s="49" t="n"/>
      <c r="C20" s="51" t="inlineStr">
        <is>
          <t>Frisco SOW § Schedule of Work</t>
        </is>
      </c>
      <c r="D20" s="49" t="n"/>
      <c r="E20" s="52" t="inlineStr">
        <is>
          <t>478,418 SF</t>
        </is>
      </c>
      <c r="F20" s="51" t="inlineStr">
        <is>
          <t>Stated Cleanable Square Footage among ten (10) buildings + parking garage elevator and stairways. District does NOT publish individual building SF breakdowns.</t>
        </is>
      </c>
      <c r="G20" s="50" t="n"/>
      <c r="H20" s="50" t="n"/>
      <c r="I20" s="50" t="n"/>
      <c r="J20" s="50" t="n"/>
      <c r="K20" s="50" t="n"/>
      <c r="L20" s="50" t="n"/>
      <c r="M20" s="49" t="n"/>
    </row>
    <row r="21" ht="52" customHeight="1">
      <c r="A21" s="51" t="inlineStr">
        <is>
          <t>Empirical Takeoff Delta</t>
        </is>
      </c>
      <c r="B21" s="49" t="n"/>
      <c r="C21" s="51" t="inlineStr">
        <is>
          <t>Gross Footprint vs Cleanable Scope</t>
        </is>
      </c>
      <c r="D21" s="49" t="n"/>
      <c r="E21" s="52" t="inlineStr">
        <is>
          <t>262,862 SF (-35.5%)</t>
        </is>
      </c>
      <c r="F21" s="51" t="inlineStr">
        <is>
          <t>Represents parking garage deck plates (~140,000 SF), heavy exterior masonry wall thickness (~75,000 SF), and restricted Central Plant / Facilities mechanical bays.</t>
        </is>
      </c>
      <c r="G21" s="50" t="n"/>
      <c r="H21" s="50" t="n"/>
      <c r="I21" s="50" t="n"/>
      <c r="J21" s="50" t="n"/>
      <c r="K21" s="50" t="n"/>
      <c r="L21" s="50" t="n"/>
      <c r="M21" s="49" t="n"/>
    </row>
    <row r="22" ht="52" customHeight="1">
      <c r="A22" s="51" t="inlineStr">
        <is>
          <t>IT Center (Field Calibration)</t>
        </is>
      </c>
      <c r="B22" s="49" t="n"/>
      <c r="C22" s="51" t="inlineStr">
        <is>
          <t>JE Dunn / KSC 2021 Architectural Record</t>
        </is>
      </c>
      <c r="D22" s="49" t="n"/>
      <c r="E22" s="52" t="inlineStr">
        <is>
          <t>91,718 GSF</t>
        </is>
      </c>
      <c r="F22" s="51" t="inlineStr">
        <is>
          <t>3-Story facility verified during 09/15 walkthrough (Rooms 101-123 on 1st, 201-212 on 2nd, 301-322 on 3rd). Preliminary 18,420 SF sheet entry was placeholder heuristic.</t>
        </is>
      </c>
      <c r="G22" s="50" t="n"/>
      <c r="H22" s="50" t="n"/>
      <c r="I22" s="50" t="n"/>
      <c r="J22" s="50" t="n"/>
      <c r="K22" s="50" t="n"/>
      <c r="L22" s="50" t="n"/>
      <c r="M22" s="49" t="n"/>
    </row>
    <row r="23" ht="52" customHeight="1">
      <c r="A23" s="51" t="inlineStr">
        <is>
          <t>Lawler Hall (Field Calibration)</t>
        </is>
      </c>
      <c r="B23" s="49" t="n"/>
      <c r="C23" s="51" t="inlineStr">
        <is>
          <t>Roger &amp; Jody Lawler Deed Record</t>
        </is>
      </c>
      <c r="D23" s="49" t="n"/>
      <c r="E23" s="52" t="inlineStr">
        <is>
          <t>70,000 GSF</t>
        </is>
      </c>
      <c r="F23" s="51" t="inlineStr">
        <is>
          <t>2-Story academic facility confirmed during 09/15 walkthrough (Dean of Academic Affairs LH106, Writing Center LH141, Police LH179, Science Den LH202, Provost J230).</t>
        </is>
      </c>
      <c r="G23" s="50" t="n"/>
      <c r="H23" s="50" t="n"/>
      <c r="I23" s="50" t="n"/>
      <c r="J23" s="50" t="n"/>
      <c r="K23" s="50" t="n"/>
      <c r="L23" s="50" t="n"/>
      <c r="M23" s="49" t="n"/>
    </row>
    <row r="24" ht="52" customHeight="1">
      <c r="A24" s="51" t="inlineStr">
        <is>
          <t>Library &amp; LRC (Field Calibration)</t>
        </is>
      </c>
      <c r="B24" s="49" t="n"/>
      <c r="C24" s="51" t="inlineStr">
        <is>
          <t>Preston Ridge Campus Master Plan</t>
        </is>
      </c>
      <c r="D24" s="49" t="n"/>
      <c r="E24" s="52" t="inlineStr">
        <is>
          <t>50,000 - 62,180 SF</t>
        </is>
      </c>
      <c r="F24" s="51" t="inlineStr">
        <is>
          <t>2-Story facility confirmed during 09/15 walkthrough. Primary broadloom carpet; night shift extraction and daily HEPA backpack vacuuming assigned.</t>
        </is>
      </c>
      <c r="G24" s="50" t="n"/>
      <c r="H24" s="50" t="n"/>
      <c r="I24" s="50" t="n"/>
      <c r="J24" s="50" t="n"/>
      <c r="K24" s="50" t="n"/>
      <c r="L24" s="50" t="n"/>
      <c r="M24" s="49" t="n"/>
    </row>
    <row r="25" ht="52" customHeight="1">
      <c r="A25" s="51" t="inlineStr">
        <is>
          <t>Contractual Pricing Rule</t>
        </is>
      </c>
      <c r="B25" s="49" t="n"/>
      <c r="C25" s="51" t="inlineStr">
        <is>
          <t>Collin College T&amp;C / Deduction Rate</t>
        </is>
      </c>
      <c r="D25" s="49" t="n"/>
      <c r="E25" s="52" t="inlineStr">
        <is>
          <t>$3.12 / SF / Yr</t>
        </is>
      </c>
      <c r="F25" s="51" t="inlineStr">
        <is>
          <t>Additions and deductions are strictly bound to $3.12/SF/Yr ($0.26/SF/Mo) against the 478,418 baseline. Master staffing of 904.0 hrs/wk covers all active cleanable areas.</t>
        </is>
      </c>
      <c r="G25" s="50" t="n"/>
      <c r="H25" s="50" t="n"/>
      <c r="I25" s="50" t="n"/>
      <c r="J25" s="50" t="n"/>
      <c r="K25" s="50" t="n"/>
      <c r="L25" s="50" t="n"/>
      <c r="M25" s="49" t="n"/>
    </row>
  </sheetData>
  <mergeCells count="27">
    <mergeCell ref="A24:B24"/>
    <mergeCell ref="C24:D24"/>
    <mergeCell ref="A17:M17"/>
    <mergeCell ref="F25:M25"/>
    <mergeCell ref="F19:M19"/>
    <mergeCell ref="C20:D20"/>
    <mergeCell ref="A25:B25"/>
    <mergeCell ref="F21:M21"/>
    <mergeCell ref="C25:D25"/>
    <mergeCell ref="F24:M24"/>
    <mergeCell ref="F20:M20"/>
    <mergeCell ref="C22:D22"/>
    <mergeCell ref="F18:M18"/>
    <mergeCell ref="A18:B18"/>
    <mergeCell ref="A21:B21"/>
    <mergeCell ref="A1:M1"/>
    <mergeCell ref="C21:D21"/>
    <mergeCell ref="F23:M23"/>
    <mergeCell ref="F22:M22"/>
    <mergeCell ref="A23:B23"/>
    <mergeCell ref="C23:D23"/>
    <mergeCell ref="A22:B22"/>
    <mergeCell ref="A20:B20"/>
    <mergeCell ref="A19:B19"/>
    <mergeCell ref="C19:D19"/>
    <mergeCell ref="C18:D18"/>
    <mergeCell ref="A2:M2"/>
  </mergeCells>
  <printOptions horizontalCentered="1"/>
  <pageMargins left="0.25" right="0.25" top="0.4" bottom="0.4" header="0.5" footer="0.5"/>
  <pageSetup orientation="landscape" paperSize="1" fitToHeight="0" fitToWidth="1"/>
</worksheet>
</file>

<file path=xl/worksheets/sheet6.xml><?xml version="1.0" encoding="utf-8"?>
<worksheet xmlns="http://schemas.openxmlformats.org/spreadsheetml/2006/main">
  <sheetPr>
    <outlinePr summaryBelow="1" summaryRight="1"/>
    <pageSetUpPr fitToPage="1"/>
  </sheetPr>
  <dimension ref="A1:G17"/>
  <sheetViews>
    <sheetView showGridLines="1" workbookViewId="0">
      <selection activeCell="A1" sqref="A1"/>
    </sheetView>
  </sheetViews>
  <sheetFormatPr baseColWidth="8" defaultRowHeight="15"/>
  <cols>
    <col width="22" customWidth="1" min="1" max="1"/>
    <col width="52" customWidth="1" min="2" max="2"/>
    <col width="78" customWidth="1" min="3" max="3"/>
    <col width="26" customWidth="1" min="4" max="4"/>
    <col width="28" customWidth="1" min="5" max="5"/>
    <col width="22" customWidth="1" min="6" max="6"/>
    <col width="78" customWidth="1" min="7" max="7"/>
  </cols>
  <sheetData>
    <row r="1" ht="30" customHeight="1">
      <c r="A1" s="203" t="inlineStr">
        <is>
          <t>HWB CLEANING SERVICES LLC — INTERNAL SUBCONTRACT UNDERWRITING AUDIT</t>
        </is>
      </c>
    </row>
    <row r="2" ht="24" customHeight="1">
      <c r="A2" s="204" t="inlineStr">
        <is>
          <t>INTERNAL FINANCIAL BASE, COGS, G&amp;A ALLOCATION &amp; NET EBITDA (EXCLUDING PRIME MARKUP)</t>
        </is>
      </c>
    </row>
    <row r="4" ht="28" customHeight="1">
      <c r="A4" s="59" t="inlineStr">
        <is>
          <t>Category</t>
        </is>
      </c>
      <c r="B4" s="59" t="inlineStr">
        <is>
          <t>Internal Line Item Description</t>
        </is>
      </c>
      <c r="C4" s="59" t="inlineStr">
        <is>
          <t>Cost Basis / Calculation Detail</t>
        </is>
      </c>
      <c r="D4" s="59" t="inlineStr">
        <is>
          <t>Monthly Revenue / Cost ($)</t>
        </is>
      </c>
      <c r="E4" s="59" t="inlineStr">
        <is>
          <t>Annual Commitment ($)</t>
        </is>
      </c>
      <c r="F4" s="59" t="inlineStr">
        <is>
          <t>% of Subcontract Base</t>
        </is>
      </c>
      <c r="G4" s="59" t="inlineStr">
        <is>
          <t>Operational Governance &amp; SOW Traceability Notes</t>
        </is>
      </c>
    </row>
    <row r="5" ht="26" customHeight="1">
      <c r="A5" s="82" t="inlineStr">
        <is>
          <t>Subcontract Revenue</t>
        </is>
      </c>
      <c r="B5" s="83" t="inlineStr">
        <is>
          <t>HWB Wholesale Subcontract Base (Billed to Bosanna)</t>
        </is>
      </c>
      <c r="C5" s="84" t="inlineStr">
        <is>
          <t>1,120.0 hrs/wk: $17.50/hr Cleaners, $19.50/hr Techs, $23.00/hr Supervisors</t>
        </is>
      </c>
      <c r="D5" s="85" t="n">
        <v>141316.7</v>
      </c>
      <c r="E5" s="85" t="n">
        <v>1695800.4</v>
      </c>
      <c r="F5" s="86" t="n">
        <v>1</v>
      </c>
      <c r="G5" s="84" t="inlineStr">
        <is>
          <t>Turnkey subcontract price charged to Bosanna LLC ($3.54/SF/Yr: Labor + Consumables)</t>
        </is>
      </c>
    </row>
    <row r="6" ht="26" customHeight="1">
      <c r="A6" s="62" t="inlineStr">
        <is>
          <t>COGS (Base Labor)</t>
        </is>
      </c>
      <c r="B6" s="72" t="inlineStr">
        <is>
          <t>Direct Base Wages (Cleaners, Techs &amp; Supervisors)</t>
        </is>
      </c>
      <c r="C6" s="72" t="inlineStr">
        <is>
          <t>1,120.0 hrs/wk (28.0 FTEs): 29–32 badged W-2 employees strictly capped at 32-40 straight-time hrs/wk</t>
        </is>
      </c>
      <c r="D6" s="63" t="n">
        <v>-88382.67</v>
      </c>
      <c r="E6" s="63" t="n">
        <v>-1060592</v>
      </c>
      <c r="F6" s="87" t="n">
        <v>-0.625</v>
      </c>
      <c r="G6" s="72" t="inlineStr">
        <is>
          <t>Gold Standard Wages: $17.50 Cln/Porter, $19.50 Floor Tech, $23.00 Sup. Zero Overtime.</t>
        </is>
      </c>
    </row>
    <row r="7" ht="26" customHeight="1">
      <c r="A7" s="62" t="inlineStr">
        <is>
          <t>COGS (Burden)</t>
        </is>
      </c>
      <c r="B7" s="72" t="inlineStr">
        <is>
          <t>Payroll Burden &amp; Statutory Taxes (+20.0% Loaded Factor)</t>
        </is>
      </c>
      <c r="C7" s="72" t="inlineStr">
        <is>
          <t>FICA (7.65%), SUTA (2.7%), FUTA (0.6%), WC Code 9014 (4.85%), Payroll Admin (4.2%)</t>
        </is>
      </c>
      <c r="D7" s="63" t="n">
        <v>-17676.53</v>
      </c>
      <c r="E7" s="63" t="n">
        <v>-212118.4</v>
      </c>
      <c r="F7" s="87" t="n">
        <v>-0.125</v>
      </c>
      <c r="G7" s="72" t="inlineStr">
        <is>
          <t>Full Texas statutory labor burden, worker compensation &amp; payroll float</t>
        </is>
      </c>
    </row>
    <row r="8" ht="26" customHeight="1">
      <c r="A8" s="62" t="inlineStr">
        <is>
          <t>COGS (Supplies)</t>
        </is>
      </c>
      <c r="B8" s="72" t="inlineStr">
        <is>
          <t>Consumable Restroom Supplies &amp; Paper Goods Baseline</t>
        </is>
      </c>
      <c r="C8" s="72" t="inlineStr">
        <is>
          <t>RFP Line 42: Restroom paper towels, jumbo rolls, soap &amp; trash liners direct wholesale baseline</t>
        </is>
      </c>
      <c r="D8" s="63" t="n">
        <v>-7575</v>
      </c>
      <c r="E8" s="63" t="n">
        <v>-90900</v>
      </c>
      <c r="F8" s="87" t="n">
        <v>-0.054</v>
      </c>
      <c r="G8" s="72" t="inlineStr">
        <is>
          <t>Direct manufacturer wholesale baseline ($7,575/mo) with 10% price buffer retained in billing</t>
        </is>
      </c>
    </row>
    <row r="9" ht="26" customHeight="1">
      <c r="A9" s="62" t="inlineStr">
        <is>
          <t>COGS (Chemistry)</t>
        </is>
      </c>
      <c r="B9" s="72" t="inlineStr">
        <is>
          <t>Special Projects Chemicals, Stripper &amp; High-Solid Wax</t>
        </is>
      </c>
      <c r="C9" s="72" t="inlineStr">
        <is>
          <t>4-coat high-solid acrylic wax, floor stripper, carpet chemistry, pads</t>
        </is>
      </c>
      <c r="D9" s="63" t="n">
        <v>-1400</v>
      </c>
      <c r="E9" s="63" t="n">
        <v>-16800</v>
      </c>
      <c r="F9" s="87" t="n">
        <v>-0.01</v>
      </c>
      <c r="G9" s="72" t="inlineStr">
        <is>
          <t>Restorative floor maintenance chemistry &amp; diamond honing consumables</t>
        </is>
      </c>
    </row>
    <row r="10" ht="26" customHeight="1">
      <c r="A10" s="62" t="inlineStr">
        <is>
          <t>COGS (Equipment)</t>
        </is>
      </c>
      <c r="B10" s="72" t="inlineStr">
        <is>
          <t>Heavy Equipment Fleet Amortization &amp; Pad/Parts Service</t>
        </is>
      </c>
      <c r="C10" s="72" t="inlineStr">
        <is>
          <t>28" Ride-on scrubber, 4 walk-behinds, 4 burnishers, 8 HEPA backpacks</t>
        </is>
      </c>
      <c r="D10" s="63" t="n">
        <v>-850</v>
      </c>
      <c r="E10" s="63" t="n">
        <v>-10200</v>
      </c>
      <c r="F10" s="87" t="n">
        <v>-0.006</v>
      </c>
      <c r="G10" s="72" t="inlineStr">
        <is>
          <t>3-Year straight-line capital amortization &amp; brush replacement float</t>
        </is>
      </c>
    </row>
    <row r="11" ht="26" customHeight="1">
      <c r="A11" s="62" t="inlineStr">
        <is>
          <t>COGS (Compliance)</t>
        </is>
      </c>
      <c r="B11" s="72" t="inlineStr">
        <is>
          <t>FAST DPS/FBI Fingerprints, Biometric Clock &amp; Uniforms</t>
        </is>
      </c>
      <c r="C11" s="72" t="inlineStr">
        <is>
          <t>TxDPS FAST clearing (§ 22.0834), cellular biometric time clock &amp; apparel</t>
        </is>
      </c>
      <c r="D11" s="63" t="n">
        <v>-600</v>
      </c>
      <c r="E11" s="63" t="n">
        <v>-7200</v>
      </c>
      <c r="F11" s="87" t="n">
        <v>-0.004</v>
      </c>
      <c r="G11" s="72" t="inlineStr">
        <is>
          <t>Contractually mandated biometric fingerprint clock cellular data plan</t>
        </is>
      </c>
    </row>
    <row r="12" ht="26" customHeight="1">
      <c r="A12" s="82" t="inlineStr">
        <is>
          <t>Gross Profit</t>
        </is>
      </c>
      <c r="B12" s="83" t="inlineStr">
        <is>
          <t>HWB GROSS OPERATING PROFIT</t>
        </is>
      </c>
      <c r="C12" s="84" t="inlineStr">
        <is>
          <t>Subcontract Revenue ($141,316.70) minus Total Direct COGS ($116,484.20)</t>
        </is>
      </c>
      <c r="D12" s="85" t="n">
        <v>24832.5</v>
      </c>
      <c r="E12" s="85" t="n">
        <v>297990</v>
      </c>
      <c r="F12" s="86" t="n">
        <v>0.176</v>
      </c>
      <c r="G12" s="84" t="inlineStr">
        <is>
          <t>17.57% Gross Operating Margin on Subcontract Revenue</t>
        </is>
      </c>
    </row>
    <row r="13" ht="26" customHeight="1">
      <c r="A13" s="62" t="inlineStr">
        <is>
          <t>G&amp;A Overhead</t>
        </is>
      </c>
      <c r="B13" s="72" t="inlineStr">
        <is>
          <t>Operations Manager / ISO 9001 Inspections Allocation</t>
        </is>
      </c>
      <c r="C13" s="72" t="inlineStr">
        <is>
          <t>Dedicated field leadership, weekly QMS quality audits, night sweeps</t>
        </is>
      </c>
      <c r="D13" s="63" t="n">
        <v>-2000</v>
      </c>
      <c r="E13" s="63" t="n">
        <v>-24000</v>
      </c>
      <c r="F13" s="87" t="n">
        <v>-0.014</v>
      </c>
      <c r="G13" s="72" t="inlineStr">
        <is>
          <t>Senior executive quality control &amp; APPA Level 2 audit verification</t>
        </is>
      </c>
    </row>
    <row r="14" ht="26" customHeight="1">
      <c r="A14" s="62" t="inlineStr">
        <is>
          <t>G&amp;A Overhead</t>
        </is>
      </c>
      <c r="B14" s="72" t="inlineStr">
        <is>
          <t>Recruiting, HR Onboarding &amp; Badging Compliance Pipeline</t>
        </is>
      </c>
      <c r="C14" s="72" t="inlineStr">
        <is>
          <t>Continuous pipeline recruiting to sustain zero-overtime badged roster</t>
        </is>
      </c>
      <c r="D14" s="63" t="n">
        <v>-1000</v>
      </c>
      <c r="E14" s="63" t="n">
        <v>-12000</v>
      </c>
      <c r="F14" s="87" t="n">
        <v>-0.007</v>
      </c>
      <c r="G14" s="72" t="inlineStr">
        <is>
          <t>Dedicated Collin County HR recruiting &amp; background investigation float</t>
        </is>
      </c>
    </row>
    <row r="15" ht="26" customHeight="1">
      <c r="A15" s="62" t="inlineStr">
        <is>
          <t>G&amp;A Overhead</t>
        </is>
      </c>
      <c r="B15" s="72" t="inlineStr">
        <is>
          <t>Janitorial Surety Bond &amp; Specific Insurance Riders</t>
        </is>
      </c>
      <c r="C15" s="72" t="inlineStr">
        <is>
          <t>Janitorial Surety Bond, Waiver of Subrogation, Additional Insured Riders</t>
        </is>
      </c>
      <c r="D15" s="63" t="n">
        <v>-600</v>
      </c>
      <c r="E15" s="63" t="n">
        <v>-7200</v>
      </c>
      <c r="F15" s="87" t="n">
        <v>-0.004</v>
      </c>
      <c r="G15" s="72" t="inlineStr">
        <is>
          <t>Full insurance compliance per RFP Terms &amp; Conditions</t>
        </is>
      </c>
    </row>
    <row r="16" ht="26" customHeight="1">
      <c r="A16" s="62" t="inlineStr">
        <is>
          <t>G&amp;A Overhead</t>
        </is>
      </c>
      <c r="B16" s="72" t="inlineStr">
        <is>
          <t>Corporate SG&amp;A, Antigravity AI Cloud &amp; Legal/Accounting</t>
        </is>
      </c>
      <c r="C16" s="72" t="inlineStr">
        <is>
          <t>Enterprise software, accounting, legal counsel, banking float</t>
        </is>
      </c>
      <c r="D16" s="63" t="n">
        <v>-500</v>
      </c>
      <c r="E16" s="63" t="n">
        <v>-6000</v>
      </c>
      <c r="F16" s="87" t="n">
        <v>-0.004</v>
      </c>
      <c r="G16" s="72" t="inlineStr">
        <is>
          <t>Fixed corporate administration overhead allocation</t>
        </is>
      </c>
    </row>
    <row r="17" ht="26" customHeight="1">
      <c r="A17" s="88" t="inlineStr">
        <is>
          <t>Net Profit</t>
        </is>
      </c>
      <c r="B17" s="89" t="inlineStr">
        <is>
          <t>HWB NET OPERATING PROFIT (EBITDA)</t>
        </is>
      </c>
      <c r="C17" s="90" t="inlineStr">
        <is>
          <t>Gross Operating Profit ($24,832.50) minus Total G&amp;A Overhead ($4,100.00)</t>
        </is>
      </c>
      <c r="D17" s="91" t="n">
        <v>20732.5</v>
      </c>
      <c r="E17" s="91" t="n">
        <v>248790</v>
      </c>
      <c r="F17" s="92" t="n">
        <v>0.147</v>
      </c>
      <c r="G17" s="90" t="inlineStr">
        <is>
          <t>14.64% Net Operating EBITDA Margin on Wholesale Subcontract Base</t>
        </is>
      </c>
    </row>
  </sheetData>
  <mergeCells count="2">
    <mergeCell ref="A2:G2"/>
    <mergeCell ref="A1:G1"/>
  </mergeCells>
  <printOptions horizontalCentered="1"/>
  <pageMargins left="0.25" right="0.25" top="0.4" bottom="0.4" header="0.5" footer="0.5"/>
  <pageSetup orientation="landscape"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2026-09-12T18:48:51Z</dcterms:created>
  <dcterms:modified xmlns:dcterms="http://purl.org/dc/terms/" xmlns:xsi="http://www.w3.org/2001/XMLSchema-instance" xsi:type="dcterms:W3CDTF">2026-09-17T13:52:12Z</dcterms:modified>
</cp:coreProperties>
</file>