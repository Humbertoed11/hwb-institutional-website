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T:\Maintenance\CONTRACTS\2025 GE Janitorial Services\"/>
    </mc:Choice>
  </mc:AlternateContent>
  <xr:revisionPtr revIDLastSave="0" documentId="13_ncr:1_{DA3058D3-9B56-41A5-B379-0C4F71D03A96}" xr6:coauthVersionLast="47" xr6:coauthVersionMax="47" xr10:uidLastSave="{00000000-0000-0000-0000-000000000000}"/>
  <bookViews>
    <workbookView xWindow="2700" yWindow="468" windowWidth="17340" windowHeight="12324" xr2:uid="{0DE6A3A2-7840-48C7-87C7-5D3210AEDCAA}"/>
  </bookViews>
  <sheets>
    <sheet name="BID SHEET Rev.22"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1" i="1" l="1"/>
  <c r="G31" i="1"/>
  <c r="H19" i="1"/>
  <c r="H27" i="1"/>
  <c r="I27" i="1"/>
  <c r="H20" i="1"/>
  <c r="H13" i="1"/>
  <c r="I13" i="1"/>
  <c r="I20" i="1"/>
  <c r="I22" i="1" s="1"/>
  <c r="I18" i="1"/>
  <c r="D19" i="1"/>
  <c r="D17" i="1"/>
  <c r="H18" i="1"/>
  <c r="I19" i="1"/>
  <c r="H17" i="1" l="1"/>
  <c r="I17" i="1" l="1"/>
  <c r="H12" i="1"/>
  <c r="I12" i="1" s="1"/>
  <c r="H11" i="1"/>
  <c r="I11" i="1" s="1"/>
  <c r="H10" i="1"/>
  <c r="I10" i="1" s="1"/>
</calcChain>
</file>

<file path=xl/sharedStrings.xml><?xml version="1.0" encoding="utf-8"?>
<sst xmlns="http://schemas.openxmlformats.org/spreadsheetml/2006/main" count="68" uniqueCount="33">
  <si>
    <t xml:space="preserve">NORTH TEXAS TOLLWAY AUTHORITY </t>
  </si>
  <si>
    <t>BID SHEET</t>
  </si>
  <si>
    <t>Janitorial Services - Gleneagles Property</t>
  </si>
  <si>
    <t>This bid will remain valid for 180 days from bid opening.</t>
  </si>
  <si>
    <t>GLENEAGLES I - 5900 W. PLANO PARKWAY, PLANO, TX 75093</t>
  </si>
  <si>
    <t xml:space="preserve">ITEM No. </t>
  </si>
  <si>
    <t xml:space="preserve">DESCRIPTION </t>
  </si>
  <si>
    <t>COST PER SQ. FT.</t>
  </si>
  <si>
    <t>HOURLY RATE</t>
  </si>
  <si>
    <t>MONTHLY COST</t>
  </si>
  <si>
    <t>YEARLY TOTAL</t>
  </si>
  <si>
    <t>5 Day Cleaning</t>
  </si>
  <si>
    <t>NA</t>
  </si>
  <si>
    <t>6 Day Cleaning</t>
  </si>
  <si>
    <t>2 Day Porters (4160 annual hours)</t>
  </si>
  <si>
    <t>BID SUBTOTAL</t>
  </si>
  <si>
    <t>GLENEAGLES II - 5910 W. PLANO PARKWAY, PLANO, TX 75093</t>
  </si>
  <si>
    <t>ADDITIONAL DAY PORTER PER LOCATION</t>
  </si>
  <si>
    <t>WEEKLY COST</t>
  </si>
  <si>
    <t xml:space="preserve">DEEP CLEAN INFECTION CONTROL </t>
  </si>
  <si>
    <t>PER VISIT</t>
  </si>
  <si>
    <t>TOTAL BID</t>
  </si>
  <si>
    <t>COMPANY NAME (PRINTED)</t>
  </si>
  <si>
    <t>AUTHORIZED AGENT (PRINTED)</t>
  </si>
  <si>
    <t xml:space="preserve">SIGNATURE </t>
  </si>
  <si>
    <t xml:space="preserve">DATE </t>
  </si>
  <si>
    <t>Making changes to this bid sheet may cause your bid to be disqualified.
By signing this Bid Sheet you acknowledge and agree to all addenda related to this solicitation.
Failure to acknowledge any addendum may deem a Bidder non-responsive.
After reviewing the scope and should you opt not to bid on this project, please complete and return the NO BID form.</t>
  </si>
  <si>
    <t>Additional Infection Control Day Porter (40 hours weekly)</t>
  </si>
  <si>
    <t>BID ALTERNATES</t>
  </si>
  <si>
    <t>Infection control deep clean as needed when requested per call out.</t>
  </si>
  <si>
    <t>4 YEARS</t>
  </si>
  <si>
    <t>06283-GEC-00-GS-MA</t>
  </si>
  <si>
    <t>TOTAL CLEANING 
SQ.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</si>
</sst>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1"/>
      <color theme="1"/>
      <name val="Calibri"/>
      <family val="2"/>
      <scheme val="minor"/>
    </font>
    <font>
      <b/>
      <sz val="18"/>
      <color theme="0"/>
      <name val="Tw Cen MT"/>
      <family val="2"/>
    </font>
    <font>
      <sz val="11"/>
      <color theme="1"/>
      <name val="Tw Cen MT"/>
      <family val="2"/>
    </font>
    <font>
      <b/>
      <sz val="16"/>
      <color theme="0"/>
      <name val="Tw Cen MT"/>
      <family val="2"/>
    </font>
    <font>
      <sz val="14"/>
      <color theme="0"/>
      <name val="Tw Cen MT"/>
      <family val="2"/>
    </font>
    <font>
      <sz val="11"/>
      <color theme="0"/>
      <name val="Tw Cen MT"/>
      <family val="2"/>
    </font>
    <font>
      <b/>
      <sz val="14"/>
      <color rgb="FFFF0000"/>
      <name val="Tw Cen MT"/>
      <family val="2"/>
    </font>
    <font>
      <b/>
      <sz val="11"/>
      <name val="Tw Cen MT"/>
      <family val="2"/>
    </font>
    <font>
      <b/>
      <sz val="14"/>
      <color theme="1"/>
      <name val="Tw Cen MT"/>
      <family val="2"/>
    </font>
    <font>
      <sz val="14"/>
      <color theme="1"/>
      <name val="Tw Cen MT"/>
      <family val="2"/>
    </font>
    <font>
      <b/>
      <sz val="12"/>
      <color theme="1"/>
      <name val="Tw Cen MT"/>
      <family val="2"/>
    </font>
    <font>
      <b/>
      <sz val="16"/>
      <color theme="1"/>
      <name val="Tw Cen MT"/>
      <family val="2"/>
    </font>
    <font>
      <b/>
      <sz val="11"/>
      <color theme="1"/>
      <name val="Tw Cen MT"/>
      <family val="2"/>
    </font>
    <font>
      <b/>
      <i/>
      <sz val="14"/>
      <color rgb="FFFF0000"/>
      <name val="Tw Cen MT"/>
      <family val="2"/>
    </font>
  </fonts>
  <fills count="6">
    <fill>
      <patternFill patternType="none"/>
    </fill>
    <fill>
      <patternFill patternType="gray125"/>
    </fill>
    <fill>
      <patternFill patternType="solid">
        <fgColor theme="8"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diagonal/>
    </border>
  </borders>
  <cellStyleXfs count="1">
    <xf numFmtId="0" fontId="0" fillId="0" borderId="0"/>
  </cellStyleXfs>
  <cellXfs count="81">
    <xf numFmtId="0" fontId="0" fillId="0" borderId="0" xfId="0"/>
    <xf numFmtId="0" fontId="2" fillId="0" borderId="0" xfId="0" applyFont="1"/>
    <xf numFmtId="0" fontId="5" fillId="3" borderId="1" xfId="0" applyFont="1" applyFill="1" applyBorder="1" applyAlignment="1">
      <alignment horizontal="center" vertical="center"/>
    </xf>
    <xf numFmtId="0" fontId="5" fillId="3" borderId="0" xfId="0" applyFont="1" applyFill="1" applyAlignment="1">
      <alignment horizontal="center" vertical="center"/>
    </xf>
    <xf numFmtId="0" fontId="2" fillId="0" borderId="0" xfId="0" applyFont="1" applyAlignment="1">
      <alignment horizontal="center" vertical="center"/>
    </xf>
    <xf numFmtId="0" fontId="9" fillId="0" borderId="0" xfId="0" applyFont="1"/>
    <xf numFmtId="0" fontId="9" fillId="0" borderId="8" xfId="0" applyFont="1" applyBorder="1" applyAlignment="1">
      <alignment horizontal="center" vertical="center"/>
    </xf>
    <xf numFmtId="0" fontId="9" fillId="0" borderId="9" xfId="0" applyFont="1" applyBorder="1" applyAlignment="1">
      <alignment horizontal="left" vertical="center" wrapText="1"/>
    </xf>
    <xf numFmtId="3" fontId="9" fillId="0" borderId="9" xfId="0" applyNumberFormat="1" applyFont="1" applyBorder="1" applyAlignment="1">
      <alignment horizontal="center" vertical="center"/>
    </xf>
    <xf numFmtId="0" fontId="9" fillId="0" borderId="9" xfId="0" applyFont="1" applyBorder="1" applyAlignment="1">
      <alignment horizontal="center" vertical="center"/>
    </xf>
    <xf numFmtId="2" fontId="9" fillId="0" borderId="9" xfId="0" applyNumberFormat="1" applyFont="1" applyBorder="1" applyAlignment="1">
      <alignment horizontal="center" vertical="center"/>
    </xf>
    <xf numFmtId="2" fontId="9" fillId="0" borderId="10" xfId="0" applyNumberFormat="1"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left" vertical="center" wrapText="1"/>
    </xf>
    <xf numFmtId="3" fontId="9" fillId="0" borderId="12" xfId="0" applyNumberFormat="1" applyFont="1" applyBorder="1" applyAlignment="1">
      <alignment horizontal="center" vertical="center"/>
    </xf>
    <xf numFmtId="0" fontId="9" fillId="0" borderId="12" xfId="0" applyFont="1" applyBorder="1" applyAlignment="1">
      <alignment horizontal="center" vertical="center"/>
    </xf>
    <xf numFmtId="2" fontId="9" fillId="0" borderId="12" xfId="0" applyNumberFormat="1" applyFont="1" applyBorder="1" applyAlignment="1">
      <alignment horizontal="center" vertical="center"/>
    </xf>
    <xf numFmtId="2" fontId="9" fillId="0" borderId="13" xfId="0" applyNumberFormat="1" applyFont="1" applyBorder="1" applyAlignment="1">
      <alignment horizontal="center" vertical="center"/>
    </xf>
    <xf numFmtId="2" fontId="9" fillId="0" borderId="15" xfId="0" applyNumberFormat="1" applyFont="1" applyBorder="1" applyAlignment="1">
      <alignment horizontal="center" vertical="center"/>
    </xf>
    <xf numFmtId="2" fontId="9" fillId="0" borderId="16" xfId="0" applyNumberFormat="1" applyFont="1" applyBorder="1" applyAlignment="1">
      <alignment horizontal="center" vertical="center"/>
    </xf>
    <xf numFmtId="0" fontId="8" fillId="0" borderId="1" xfId="0" applyFont="1" applyBorder="1" applyAlignment="1">
      <alignment horizontal="right" vertical="center"/>
    </xf>
    <xf numFmtId="0" fontId="8" fillId="0" borderId="0" xfId="0" applyFont="1" applyAlignment="1">
      <alignment horizontal="right" vertical="center"/>
    </xf>
    <xf numFmtId="2" fontId="9" fillId="0" borderId="0" xfId="0" applyNumberFormat="1" applyFont="1" applyAlignment="1">
      <alignment horizontal="center" vertical="center"/>
    </xf>
    <xf numFmtId="2" fontId="9" fillId="0" borderId="18" xfId="0" applyNumberFormat="1" applyFont="1" applyBorder="1" applyAlignment="1">
      <alignment horizontal="center" vertical="center"/>
    </xf>
    <xf numFmtId="0" fontId="2" fillId="0" borderId="1" xfId="0" applyFont="1" applyBorder="1"/>
    <xf numFmtId="0" fontId="2" fillId="0" borderId="18" xfId="0" applyFont="1" applyBorder="1"/>
    <xf numFmtId="0" fontId="8" fillId="0" borderId="0" xfId="0" applyFont="1" applyAlignment="1">
      <alignment horizontal="center" vertical="center" wrapText="1"/>
    </xf>
    <xf numFmtId="164" fontId="10" fillId="0" borderId="0" xfId="0" applyNumberFormat="1" applyFont="1" applyAlignment="1">
      <alignment horizontal="left" vertical="center"/>
    </xf>
    <xf numFmtId="164" fontId="10" fillId="0" borderId="19" xfId="0" applyNumberFormat="1" applyFont="1" applyBorder="1" applyAlignment="1">
      <alignment horizontal="left" vertical="center"/>
    </xf>
    <xf numFmtId="0" fontId="2" fillId="0" borderId="20" xfId="0" applyFont="1" applyBorder="1"/>
    <xf numFmtId="0" fontId="11" fillId="0" borderId="0" xfId="0" applyFont="1" applyAlignment="1">
      <alignment horizontal="center" vertical="center"/>
    </xf>
    <xf numFmtId="0" fontId="10" fillId="0" borderId="0" xfId="0" applyFont="1" applyAlignment="1">
      <alignment horizontal="center" vertical="center"/>
    </xf>
    <xf numFmtId="0" fontId="10" fillId="0" borderId="20" xfId="0" applyFont="1" applyBorder="1" applyAlignment="1">
      <alignment horizontal="center" vertical="center"/>
    </xf>
    <xf numFmtId="164" fontId="2" fillId="0" borderId="21" xfId="0" applyNumberFormat="1" applyFont="1" applyBorder="1"/>
    <xf numFmtId="0" fontId="12" fillId="0" borderId="1" xfId="0" applyFont="1" applyBorder="1" applyAlignment="1">
      <alignment horizontal="center"/>
    </xf>
    <xf numFmtId="0" fontId="12" fillId="0" borderId="0" xfId="0" applyFont="1" applyAlignment="1">
      <alignment horizontal="center" vertical="center"/>
    </xf>
    <xf numFmtId="0" fontId="11" fillId="0" borderId="18" xfId="0" applyFont="1" applyBorder="1" applyAlignment="1">
      <alignment horizontal="center" vertical="center"/>
    </xf>
    <xf numFmtId="2" fontId="9" fillId="0" borderId="23" xfId="0" applyNumberFormat="1" applyFont="1" applyBorder="1" applyAlignment="1">
      <alignment horizontal="center" vertical="center"/>
    </xf>
    <xf numFmtId="2" fontId="9" fillId="0" borderId="17" xfId="0" applyNumberFormat="1" applyFont="1" applyBorder="1" applyAlignment="1">
      <alignment horizontal="center" vertical="center"/>
    </xf>
    <xf numFmtId="0" fontId="8" fillId="0" borderId="6" xfId="0" applyFont="1" applyBorder="1" applyAlignment="1">
      <alignment horizontal="right" vertical="center"/>
    </xf>
    <xf numFmtId="0" fontId="8" fillId="0" borderId="5" xfId="0" applyFont="1" applyBorder="1" applyAlignment="1">
      <alignment horizontal="right" vertical="center"/>
    </xf>
    <xf numFmtId="164" fontId="10" fillId="0" borderId="18" xfId="0" applyNumberFormat="1" applyFont="1" applyBorder="1" applyAlignment="1">
      <alignment horizontal="left" vertical="center"/>
    </xf>
    <xf numFmtId="0" fontId="8" fillId="0" borderId="0" xfId="0" applyFont="1" applyBorder="1" applyAlignment="1">
      <alignment horizontal="right" vertical="center"/>
    </xf>
    <xf numFmtId="2" fontId="9" fillId="0" borderId="25" xfId="0" applyNumberFormat="1" applyFont="1" applyBorder="1" applyAlignment="1">
      <alignment horizontal="center" vertical="center"/>
    </xf>
    <xf numFmtId="2" fontId="9" fillId="0" borderId="5" xfId="0" applyNumberFormat="1" applyFont="1" applyBorder="1" applyAlignment="1">
      <alignment horizontal="center" vertical="center"/>
    </xf>
    <xf numFmtId="2" fontId="9" fillId="0" borderId="7" xfId="0" applyNumberFormat="1" applyFont="1" applyBorder="1" applyAlignment="1">
      <alignment horizontal="center" vertical="center"/>
    </xf>
    <xf numFmtId="0" fontId="10" fillId="4" borderId="27" xfId="0" applyFont="1" applyFill="1" applyBorder="1" applyAlignment="1">
      <alignment horizontal="center" vertical="center" wrapText="1"/>
    </xf>
    <xf numFmtId="0" fontId="10" fillId="4" borderId="28"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7" fillId="3" borderId="5"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8" fillId="0" borderId="1" xfId="0" applyFont="1" applyBorder="1" applyAlignment="1">
      <alignment horizontal="center" vertical="center"/>
    </xf>
    <xf numFmtId="0" fontId="8" fillId="0" borderId="0" xfId="0" applyFont="1" applyBorder="1" applyAlignment="1">
      <alignment horizontal="center" vertical="center"/>
    </xf>
    <xf numFmtId="0" fontId="8" fillId="0" borderId="18" xfId="0" applyFont="1" applyBorder="1" applyAlignment="1">
      <alignment horizontal="center" vertical="center"/>
    </xf>
    <xf numFmtId="0" fontId="8" fillId="0" borderId="14" xfId="0" applyFont="1" applyBorder="1" applyAlignment="1">
      <alignment horizontal="right" vertical="center"/>
    </xf>
    <xf numFmtId="0" fontId="8" fillId="0" borderId="3" xfId="0" applyFont="1" applyBorder="1" applyAlignment="1">
      <alignment horizontal="right" vertical="center"/>
    </xf>
    <xf numFmtId="0" fontId="8" fillId="0" borderId="4" xfId="0" applyFont="1" applyBorder="1" applyAlignment="1">
      <alignment horizontal="right" vertical="center"/>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8" fillId="0" borderId="30" xfId="0" applyFont="1" applyBorder="1" applyAlignment="1">
      <alignment horizontal="center" vertical="center"/>
    </xf>
    <xf numFmtId="0" fontId="8" fillId="5" borderId="26" xfId="0" applyFont="1" applyFill="1" applyBorder="1" applyAlignment="1">
      <alignment horizontal="center" vertical="center"/>
    </xf>
    <xf numFmtId="0" fontId="0" fillId="5" borderId="15" xfId="0" applyFill="1" applyBorder="1" applyAlignment="1">
      <alignment horizontal="center" vertical="center"/>
    </xf>
    <xf numFmtId="0" fontId="0" fillId="5" borderId="16" xfId="0" applyFill="1" applyBorder="1" applyAlignment="1">
      <alignment horizontal="center" vertical="center"/>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13" fillId="0" borderId="18" xfId="0" applyFont="1" applyBorder="1" applyAlignment="1">
      <alignment horizontal="center" vertical="center" wrapText="1"/>
    </xf>
    <xf numFmtId="0" fontId="0" fillId="0" borderId="22" xfId="0" applyBorder="1" applyAlignment="1"/>
    <xf numFmtId="0" fontId="0" fillId="0" borderId="20" xfId="0" applyBorder="1" applyAlignment="1"/>
    <xf numFmtId="0" fontId="0" fillId="0" borderId="21" xfId="0" applyBorder="1" applyAlignment="1"/>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1" fillId="2" borderId="1" xfId="0" applyFont="1" applyFill="1" applyBorder="1" applyAlignment="1">
      <alignment horizontal="center"/>
    </xf>
    <xf numFmtId="0" fontId="1" fillId="2" borderId="0" xfId="0" applyFont="1" applyFill="1" applyAlignment="1">
      <alignment horizontal="center"/>
    </xf>
    <xf numFmtId="0" fontId="3" fillId="2" borderId="1" xfId="0" applyFont="1" applyFill="1" applyBorder="1" applyAlignment="1">
      <alignment horizontal="center"/>
    </xf>
    <xf numFmtId="0" fontId="3" fillId="2" borderId="0" xfId="0" applyFont="1" applyFill="1" applyAlignment="1">
      <alignment horizontal="center"/>
    </xf>
    <xf numFmtId="0" fontId="4" fillId="2" borderId="1" xfId="0" applyFont="1" applyFill="1" applyBorder="1" applyAlignment="1">
      <alignment horizontal="center"/>
    </xf>
    <xf numFmtId="0" fontId="4" fillId="2" borderId="0" xfId="0" applyFont="1" applyFill="1" applyAlignment="1">
      <alignment horizontal="center"/>
    </xf>
    <xf numFmtId="0" fontId="5" fillId="2" borderId="1" xfId="0" applyFont="1" applyFill="1" applyBorder="1" applyAlignment="1">
      <alignment horizontal="center"/>
    </xf>
    <xf numFmtId="0" fontId="5"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F1422-B7D5-40FD-A660-9CE18F75EB1C}">
  <sheetPr>
    <pageSetUpPr fitToPage="1"/>
  </sheetPr>
  <dimension ref="B1:I41"/>
  <sheetViews>
    <sheetView tabSelected="1" topLeftCell="B1" zoomScale="73" zoomScaleNormal="73" workbookViewId="0">
      <selection activeCell="I32" sqref="I32"/>
    </sheetView>
  </sheetViews>
  <sheetFormatPr defaultColWidth="8.77734375" defaultRowHeight="13.8" x14ac:dyDescent="0.25"/>
  <cols>
    <col min="1" max="1" width="8.77734375" style="1"/>
    <col min="2" max="2" width="16.44140625" style="1" bestFit="1" customWidth="1"/>
    <col min="3" max="3" width="55.44140625" style="1" customWidth="1"/>
    <col min="4" max="4" width="17.44140625" style="1" customWidth="1"/>
    <col min="5" max="5" width="21.5546875" style="1" bestFit="1" customWidth="1"/>
    <col min="6" max="6" width="22.44140625" style="1" customWidth="1"/>
    <col min="7" max="7" width="24.77734375" style="1" customWidth="1"/>
    <col min="8" max="8" width="20.21875" style="1" bestFit="1" customWidth="1"/>
    <col min="9" max="9" width="24.77734375" style="1" customWidth="1"/>
    <col min="10" max="16384" width="8.77734375" style="1"/>
  </cols>
  <sheetData>
    <row r="1" spans="2:9" ht="22.5" customHeight="1" x14ac:dyDescent="0.4">
      <c r="B1" s="73" t="s">
        <v>0</v>
      </c>
      <c r="C1" s="74"/>
      <c r="D1" s="74"/>
      <c r="E1" s="74"/>
      <c r="F1" s="74"/>
      <c r="G1" s="74"/>
      <c r="H1" s="74"/>
      <c r="I1" s="74"/>
    </row>
    <row r="2" spans="2:9" ht="20.25" customHeight="1" x14ac:dyDescent="0.35">
      <c r="B2" s="75" t="s">
        <v>1</v>
      </c>
      <c r="C2" s="76"/>
      <c r="D2" s="76"/>
      <c r="E2" s="76"/>
      <c r="F2" s="76"/>
      <c r="G2" s="76"/>
      <c r="H2" s="76"/>
      <c r="I2" s="76"/>
    </row>
    <row r="3" spans="2:9" ht="15.75" customHeight="1" x14ac:dyDescent="0.35">
      <c r="B3" s="77" t="s">
        <v>31</v>
      </c>
      <c r="C3" s="78"/>
      <c r="D3" s="78"/>
      <c r="E3" s="78"/>
      <c r="F3" s="78"/>
      <c r="G3" s="78"/>
      <c r="H3" s="78"/>
      <c r="I3" s="78"/>
    </row>
    <row r="4" spans="2:9" ht="17.25" customHeight="1" x14ac:dyDescent="0.35">
      <c r="B4" s="77" t="s">
        <v>2</v>
      </c>
      <c r="C4" s="78"/>
      <c r="D4" s="78"/>
      <c r="E4" s="78"/>
      <c r="F4" s="78"/>
      <c r="G4" s="78"/>
      <c r="H4" s="78"/>
      <c r="I4" s="78"/>
    </row>
    <row r="5" spans="2:9" ht="15" customHeight="1" x14ac:dyDescent="0.25">
      <c r="B5" s="79"/>
      <c r="C5" s="80"/>
      <c r="D5" s="80"/>
      <c r="E5" s="80"/>
      <c r="F5" s="80"/>
      <c r="G5" s="80"/>
      <c r="H5" s="80"/>
      <c r="I5" s="80"/>
    </row>
    <row r="6" spans="2:9" ht="21" customHeight="1" x14ac:dyDescent="0.25">
      <c r="B6" s="70" t="s">
        <v>3</v>
      </c>
      <c r="C6" s="71"/>
      <c r="D6" s="71"/>
      <c r="E6" s="71"/>
      <c r="F6" s="71"/>
      <c r="G6" s="71"/>
      <c r="H6" s="71"/>
      <c r="I6" s="72"/>
    </row>
    <row r="7" spans="2:9" s="4" customFormat="1" ht="37.950000000000003" customHeight="1" x14ac:dyDescent="0.3">
      <c r="B7" s="2"/>
      <c r="C7" s="3"/>
      <c r="D7" s="3"/>
      <c r="E7" s="3"/>
      <c r="F7" s="49"/>
      <c r="G7" s="49"/>
      <c r="H7" s="50"/>
      <c r="I7" s="51"/>
    </row>
    <row r="8" spans="2:9" s="5" customFormat="1" ht="28.95" customHeight="1" thickBot="1" x14ac:dyDescent="0.4">
      <c r="B8" s="52" t="s">
        <v>4</v>
      </c>
      <c r="C8" s="53"/>
      <c r="D8" s="53"/>
      <c r="E8" s="53"/>
      <c r="F8" s="53"/>
      <c r="G8" s="53"/>
      <c r="H8" s="53"/>
      <c r="I8" s="54"/>
    </row>
    <row r="9" spans="2:9" ht="47.4" thickBot="1" x14ac:dyDescent="0.3">
      <c r="B9" s="46" t="s">
        <v>5</v>
      </c>
      <c r="C9" s="47" t="s">
        <v>6</v>
      </c>
      <c r="D9" s="47" t="s">
        <v>32</v>
      </c>
      <c r="E9" s="47" t="s">
        <v>7</v>
      </c>
      <c r="F9" s="47" t="s">
        <v>8</v>
      </c>
      <c r="G9" s="48" t="s">
        <v>9</v>
      </c>
      <c r="H9" s="47" t="s">
        <v>10</v>
      </c>
      <c r="I9" s="48" t="s">
        <v>30</v>
      </c>
    </row>
    <row r="10" spans="2:9" s="5" customFormat="1" ht="28.95" customHeight="1" x14ac:dyDescent="0.35">
      <c r="B10" s="6">
        <v>1</v>
      </c>
      <c r="C10" s="7" t="s">
        <v>11</v>
      </c>
      <c r="D10" s="8">
        <v>75646</v>
      </c>
      <c r="E10" s="9"/>
      <c r="F10" s="10"/>
      <c r="G10" s="10"/>
      <c r="H10" s="37">
        <f>SUM(G10*12)</f>
        <v>0</v>
      </c>
      <c r="I10" s="11">
        <f>SUM(H10*4)</f>
        <v>0</v>
      </c>
    </row>
    <row r="11" spans="2:9" s="5" customFormat="1" ht="28.95" customHeight="1" x14ac:dyDescent="0.35">
      <c r="B11" s="12">
        <v>2</v>
      </c>
      <c r="C11" s="13" t="s">
        <v>13</v>
      </c>
      <c r="D11" s="14">
        <v>3610</v>
      </c>
      <c r="E11" s="15"/>
      <c r="F11" s="16"/>
      <c r="G11" s="16"/>
      <c r="H11" s="16">
        <f>SUM(G11*12)</f>
        <v>0</v>
      </c>
      <c r="I11" s="17">
        <f>SUM(H11*4)</f>
        <v>0</v>
      </c>
    </row>
    <row r="12" spans="2:9" s="5" customFormat="1" ht="28.95" customHeight="1" x14ac:dyDescent="0.35">
      <c r="B12" s="12">
        <v>3</v>
      </c>
      <c r="C12" s="13" t="s">
        <v>14</v>
      </c>
      <c r="D12" s="14">
        <v>79256</v>
      </c>
      <c r="E12" s="15" t="s">
        <v>12</v>
      </c>
      <c r="F12" s="16"/>
      <c r="G12" s="16" t="s">
        <v>12</v>
      </c>
      <c r="H12" s="16">
        <f>SUM(F12*4160)</f>
        <v>0</v>
      </c>
      <c r="I12" s="17">
        <f>SUM(H12*4)</f>
        <v>0</v>
      </c>
    </row>
    <row r="13" spans="2:9" s="5" customFormat="1" ht="28.95" customHeight="1" x14ac:dyDescent="0.35">
      <c r="B13" s="55" t="s">
        <v>15</v>
      </c>
      <c r="C13" s="56"/>
      <c r="D13" s="56"/>
      <c r="E13" s="56"/>
      <c r="F13" s="56"/>
      <c r="G13" s="57"/>
      <c r="H13" s="18">
        <f>SUM(H10:H12)</f>
        <v>0</v>
      </c>
      <c r="I13" s="19">
        <f>SUM(I10:I12)</f>
        <v>0</v>
      </c>
    </row>
    <row r="14" spans="2:9" s="5" customFormat="1" ht="28.95" customHeight="1" x14ac:dyDescent="0.35">
      <c r="B14" s="39"/>
      <c r="C14" s="40"/>
      <c r="D14" s="40"/>
      <c r="E14" s="40"/>
      <c r="F14" s="40"/>
      <c r="G14" s="40"/>
      <c r="H14" s="44"/>
      <c r="I14" s="45"/>
    </row>
    <row r="15" spans="2:9" s="5" customFormat="1" ht="28.95" customHeight="1" thickBot="1" x14ac:dyDescent="0.4">
      <c r="B15" s="52" t="s">
        <v>16</v>
      </c>
      <c r="C15" s="53"/>
      <c r="D15" s="53"/>
      <c r="E15" s="53"/>
      <c r="F15" s="53"/>
      <c r="G15" s="53"/>
      <c r="H15" s="53"/>
      <c r="I15" s="54"/>
    </row>
    <row r="16" spans="2:9" ht="47.4" thickBot="1" x14ac:dyDescent="0.3">
      <c r="B16" s="46" t="s">
        <v>5</v>
      </c>
      <c r="C16" s="47" t="s">
        <v>6</v>
      </c>
      <c r="D16" s="47" t="s">
        <v>32</v>
      </c>
      <c r="E16" s="47" t="s">
        <v>7</v>
      </c>
      <c r="F16" s="47" t="s">
        <v>8</v>
      </c>
      <c r="G16" s="48" t="s">
        <v>9</v>
      </c>
      <c r="H16" s="47" t="s">
        <v>10</v>
      </c>
      <c r="I16" s="48" t="s">
        <v>30</v>
      </c>
    </row>
    <row r="17" spans="2:9" s="5" customFormat="1" ht="28.95" customHeight="1" x14ac:dyDescent="0.35">
      <c r="B17" s="12">
        <v>4</v>
      </c>
      <c r="C17" s="13" t="s">
        <v>11</v>
      </c>
      <c r="D17" s="14">
        <f>21084+20122</f>
        <v>41206</v>
      </c>
      <c r="E17" s="15"/>
      <c r="F17" s="16"/>
      <c r="G17" s="16"/>
      <c r="H17" s="16">
        <f>SUM(G17*12)</f>
        <v>0</v>
      </c>
      <c r="I17" s="17">
        <f>SUM(H17*4)</f>
        <v>0</v>
      </c>
    </row>
    <row r="18" spans="2:9" s="5" customFormat="1" ht="28.95" customHeight="1" x14ac:dyDescent="0.35">
      <c r="B18" s="12">
        <v>5</v>
      </c>
      <c r="C18" s="13" t="s">
        <v>13</v>
      </c>
      <c r="D18" s="14">
        <v>10156</v>
      </c>
      <c r="E18" s="15"/>
      <c r="F18" s="16"/>
      <c r="G18" s="18"/>
      <c r="H18" s="18">
        <f>SUM(G18*12)</f>
        <v>0</v>
      </c>
      <c r="I18" s="19">
        <f>SUM(H18*4)</f>
        <v>0</v>
      </c>
    </row>
    <row r="19" spans="2:9" s="5" customFormat="1" ht="28.95" customHeight="1" x14ac:dyDescent="0.35">
      <c r="B19" s="12">
        <v>6</v>
      </c>
      <c r="C19" s="13" t="s">
        <v>14</v>
      </c>
      <c r="D19" s="14">
        <f>SUM(D17:D18)</f>
        <v>51362</v>
      </c>
      <c r="E19" s="15" t="s">
        <v>12</v>
      </c>
      <c r="F19" s="16"/>
      <c r="G19" s="18" t="s">
        <v>12</v>
      </c>
      <c r="H19" s="18">
        <f>SUM(F19*4160)</f>
        <v>0</v>
      </c>
      <c r="I19" s="19">
        <f>SUM(H19*4)</f>
        <v>0</v>
      </c>
    </row>
    <row r="20" spans="2:9" s="5" customFormat="1" ht="28.95" customHeight="1" x14ac:dyDescent="0.35">
      <c r="B20" s="55" t="s">
        <v>15</v>
      </c>
      <c r="C20" s="56"/>
      <c r="D20" s="56"/>
      <c r="E20" s="56"/>
      <c r="F20" s="56"/>
      <c r="G20" s="57"/>
      <c r="H20" s="18">
        <f>SUM(H17:H19)</f>
        <v>0</v>
      </c>
      <c r="I20" s="19">
        <f>SUM(I17:I19)</f>
        <v>0</v>
      </c>
    </row>
    <row r="21" spans="2:9" s="5" customFormat="1" ht="28.95" customHeight="1" thickBot="1" x14ac:dyDescent="0.4">
      <c r="B21" s="20"/>
      <c r="C21" s="42"/>
      <c r="D21" s="42"/>
      <c r="E21" s="42"/>
      <c r="F21" s="42"/>
      <c r="G21" s="42"/>
      <c r="H21" s="43"/>
      <c r="I21" s="38"/>
    </row>
    <row r="22" spans="2:9" s="5" customFormat="1" ht="28.95" customHeight="1" thickBot="1" x14ac:dyDescent="0.4">
      <c r="B22" s="20"/>
      <c r="C22" s="42"/>
      <c r="D22" s="42"/>
      <c r="E22" s="42"/>
      <c r="F22" s="42"/>
      <c r="G22" s="42"/>
      <c r="H22" s="26" t="s">
        <v>21</v>
      </c>
      <c r="I22" s="28">
        <f>SUM(I13+I20)</f>
        <v>0</v>
      </c>
    </row>
    <row r="23" spans="2:9" s="5" customFormat="1" ht="28.95" customHeight="1" x14ac:dyDescent="0.35">
      <c r="B23" s="39"/>
      <c r="C23" s="42"/>
      <c r="D23" s="42"/>
      <c r="E23" s="42"/>
      <c r="F23" s="42"/>
      <c r="G23" s="42"/>
      <c r="H23" s="26"/>
      <c r="I23" s="41"/>
    </row>
    <row r="24" spans="2:9" s="5" customFormat="1" ht="28.95" customHeight="1" x14ac:dyDescent="0.35">
      <c r="B24" s="61" t="s">
        <v>28</v>
      </c>
      <c r="C24" s="62"/>
      <c r="D24" s="62"/>
      <c r="E24" s="62"/>
      <c r="F24" s="62"/>
      <c r="G24" s="62"/>
      <c r="H24" s="62"/>
      <c r="I24" s="63"/>
    </row>
    <row r="25" spans="2:9" s="5" customFormat="1" ht="46.2" customHeight="1" thickBot="1" x14ac:dyDescent="0.4">
      <c r="B25" s="58" t="s">
        <v>19</v>
      </c>
      <c r="C25" s="59"/>
      <c r="D25" s="59"/>
      <c r="E25" s="59"/>
      <c r="F25" s="59"/>
      <c r="G25" s="59"/>
      <c r="H25" s="59"/>
      <c r="I25" s="60"/>
    </row>
    <row r="26" spans="2:9" ht="47.4" thickBot="1" x14ac:dyDescent="0.3">
      <c r="B26" s="46" t="s">
        <v>5</v>
      </c>
      <c r="C26" s="47" t="s">
        <v>6</v>
      </c>
      <c r="D26" s="47" t="s">
        <v>32</v>
      </c>
      <c r="E26" s="47" t="s">
        <v>20</v>
      </c>
      <c r="F26" s="47" t="s">
        <v>8</v>
      </c>
      <c r="G26" s="48" t="s">
        <v>18</v>
      </c>
      <c r="H26" s="47" t="s">
        <v>10</v>
      </c>
      <c r="I26" s="48" t="s">
        <v>30</v>
      </c>
    </row>
    <row r="27" spans="2:9" s="5" customFormat="1" ht="42" customHeight="1" x14ac:dyDescent="0.35">
      <c r="B27" s="12">
        <v>6</v>
      </c>
      <c r="C27" s="13" t="s">
        <v>29</v>
      </c>
      <c r="D27" s="15" t="s">
        <v>12</v>
      </c>
      <c r="E27" s="15"/>
      <c r="F27" s="16" t="s">
        <v>12</v>
      </c>
      <c r="G27" s="16" t="s">
        <v>12</v>
      </c>
      <c r="H27" s="16">
        <f>SUM(E27*15)</f>
        <v>0</v>
      </c>
      <c r="I27" s="17">
        <f>SUM(H27*4)</f>
        <v>0</v>
      </c>
    </row>
    <row r="28" spans="2:9" s="5" customFormat="1" ht="28.95" customHeight="1" x14ac:dyDescent="0.35">
      <c r="B28" s="20"/>
      <c r="C28" s="21"/>
      <c r="D28" s="21"/>
      <c r="E28" s="21"/>
      <c r="F28" s="21"/>
      <c r="G28" s="21"/>
      <c r="H28" s="22"/>
      <c r="I28" s="23"/>
    </row>
    <row r="29" spans="2:9" s="5" customFormat="1" ht="48" customHeight="1" thickBot="1" x14ac:dyDescent="0.4">
      <c r="B29" s="58" t="s">
        <v>17</v>
      </c>
      <c r="C29" s="59"/>
      <c r="D29" s="59"/>
      <c r="E29" s="59"/>
      <c r="F29" s="59"/>
      <c r="G29" s="59"/>
      <c r="H29" s="59"/>
      <c r="I29" s="60"/>
    </row>
    <row r="30" spans="2:9" s="5" customFormat="1" ht="47.4" thickBot="1" x14ac:dyDescent="0.4">
      <c r="B30" s="46" t="s">
        <v>5</v>
      </c>
      <c r="C30" s="47" t="s">
        <v>6</v>
      </c>
      <c r="D30" s="47" t="s">
        <v>32</v>
      </c>
      <c r="E30" s="47" t="s">
        <v>7</v>
      </c>
      <c r="F30" s="47" t="s">
        <v>8</v>
      </c>
      <c r="G30" s="48" t="s">
        <v>18</v>
      </c>
      <c r="H30" s="47" t="s">
        <v>10</v>
      </c>
      <c r="I30" s="48" t="s">
        <v>30</v>
      </c>
    </row>
    <row r="31" spans="2:9" s="5" customFormat="1" ht="36" x14ac:dyDescent="0.35">
      <c r="B31" s="12">
        <v>7</v>
      </c>
      <c r="C31" s="13" t="s">
        <v>27</v>
      </c>
      <c r="D31" s="15" t="s">
        <v>12</v>
      </c>
      <c r="E31" s="15" t="s">
        <v>12</v>
      </c>
      <c r="F31" s="16"/>
      <c r="G31" s="16">
        <f>SUM(F31*40)</f>
        <v>0</v>
      </c>
      <c r="H31" s="16" t="s">
        <v>12</v>
      </c>
      <c r="I31" s="17">
        <f>SUM(F31*2080)*4</f>
        <v>0</v>
      </c>
    </row>
    <row r="32" spans="2:9" ht="59.25" customHeight="1" x14ac:dyDescent="0.25">
      <c r="B32" s="24"/>
      <c r="F32" s="26"/>
      <c r="G32" s="27"/>
      <c r="I32" s="25"/>
    </row>
    <row r="33" spans="2:9" ht="45.75" customHeight="1" thickBot="1" x14ac:dyDescent="0.3">
      <c r="B33" s="24"/>
      <c r="C33" s="29"/>
      <c r="I33" s="25"/>
    </row>
    <row r="34" spans="2:9" ht="25.05" customHeight="1" x14ac:dyDescent="0.25">
      <c r="B34" s="24"/>
      <c r="C34" s="30" t="s">
        <v>22</v>
      </c>
      <c r="D34" s="31"/>
      <c r="E34" s="31"/>
      <c r="I34" s="25"/>
    </row>
    <row r="35" spans="2:9" ht="25.05" customHeight="1" thickBot="1" x14ac:dyDescent="0.3">
      <c r="B35" s="24"/>
      <c r="C35" s="32"/>
      <c r="D35" s="31"/>
      <c r="E35" s="31"/>
      <c r="I35" s="25"/>
    </row>
    <row r="36" spans="2:9" ht="25.05" customHeight="1" x14ac:dyDescent="0.25">
      <c r="B36" s="24"/>
      <c r="C36" s="30" t="s">
        <v>23</v>
      </c>
      <c r="D36" s="31"/>
      <c r="E36" s="31"/>
      <c r="I36" s="25"/>
    </row>
    <row r="37" spans="2:9" ht="28.95" customHeight="1" thickBot="1" x14ac:dyDescent="0.3">
      <c r="B37" s="24"/>
      <c r="C37" s="29"/>
      <c r="I37" s="33"/>
    </row>
    <row r="38" spans="2:9" ht="37.200000000000003" customHeight="1" x14ac:dyDescent="0.25">
      <c r="B38" s="34"/>
      <c r="C38" s="30" t="s">
        <v>24</v>
      </c>
      <c r="D38" s="31"/>
      <c r="E38" s="31"/>
      <c r="G38" s="35"/>
      <c r="I38" s="36" t="s">
        <v>25</v>
      </c>
    </row>
    <row r="39" spans="2:9" ht="91.95" customHeight="1" x14ac:dyDescent="0.25">
      <c r="B39" s="64" t="s">
        <v>26</v>
      </c>
      <c r="C39" s="65"/>
      <c r="D39" s="65"/>
      <c r="E39" s="65"/>
      <c r="F39" s="65"/>
      <c r="G39" s="65"/>
      <c r="H39" s="65"/>
      <c r="I39" s="66"/>
    </row>
    <row r="40" spans="2:9" ht="14.4" thickBot="1" x14ac:dyDescent="0.3">
      <c r="B40" s="67"/>
      <c r="C40" s="68"/>
      <c r="D40" s="68"/>
      <c r="E40" s="68"/>
      <c r="F40" s="68"/>
      <c r="G40" s="68"/>
      <c r="H40" s="68"/>
      <c r="I40" s="69"/>
    </row>
    <row r="41" spans="2:9" ht="34.5" customHeight="1" x14ac:dyDescent="0.25"/>
  </sheetData>
  <mergeCells count="16">
    <mergeCell ref="B6:I6"/>
    <mergeCell ref="B1:I1"/>
    <mergeCell ref="B2:I2"/>
    <mergeCell ref="B3:I3"/>
    <mergeCell ref="B4:I4"/>
    <mergeCell ref="B5:I5"/>
    <mergeCell ref="B20:G20"/>
    <mergeCell ref="B29:I29"/>
    <mergeCell ref="B25:I25"/>
    <mergeCell ref="B24:I24"/>
    <mergeCell ref="B39:I40"/>
    <mergeCell ref="F7:G7"/>
    <mergeCell ref="H7:I7"/>
    <mergeCell ref="B8:I8"/>
    <mergeCell ref="B13:G13"/>
    <mergeCell ref="B15:I15"/>
  </mergeCells>
  <pageMargins left="0.7" right="0.7" top="0.75" bottom="0.75" header="0.3" footer="0.3"/>
  <pageSetup scale="42" orientation="portrait" r:id="rId1"/>
  <headerFooter>
    <oddFooter>&amp;L&amp;"Tw Cen MT,Bold"&amp;9Version 1&amp;C&amp;"Tw Cen MT,Bold"&amp;9&amp;P of &amp;N&amp;R&amp;"Tw Cen MT,Bold"&amp;9 Rev. 11.01.18</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007F-08B2-4CC8-A8B6-3FAB89876955}">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BID SHEET Rev.22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Lehde, Amanda</dc:creator>
  <cp:lastModifiedBy>Youngblood, Sherry</cp:lastModifiedBy>
  <cp:lastPrinted>2025-06-23T15:58:52Z</cp:lastPrinted>
  <dcterms:created xsi:type="dcterms:W3CDTF">2022-05-19T14:17:16Z</dcterms:created>
  <dcterms:modified xsi:type="dcterms:W3CDTF">2025-06-24T17:20:25Z</dcterms:modified>
</cp:coreProperties>
</file>