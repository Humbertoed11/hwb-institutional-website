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mercial_Quote" sheetId="1" state="visible" r:id="rId1"/>
    <sheet name="Service_Gantt_Schedule" sheetId="2" state="visible" r:id="rId2"/>
    <sheet name="Cost_Underwriting_Audit" sheetId="3" state="visible" r:id="rId3"/>
  </sheets>
  <definedNames>
    <definedName name="Project_Start">Service_Gantt_Schedule!$G$4</definedName>
    <definedName name="Display_Week">Service_Gantt_Schedule!$G$5</definedName>
    <definedName name="_xlnm.Print_Titles" localSheetId="0">'Commercial_Quote'!$1:$8</definedName>
    <definedName name="_xlnm.Print_Titles" localSheetId="1">'Service_Gantt_Schedule'!$1:$4</definedName>
    <definedName name="_xlnm.Print_Area" localSheetId="1">'Service_Gantt_Schedule'!$A$1:$AN$21</definedName>
    <definedName name="_xlnm.Print_Titles" localSheetId="2">'Cost_Underwriting_Audit'!$1:$4</definedName>
  </definedNames>
  <calcPr calcId="124519" fullCalcOnLoad="1"/>
</workbook>
</file>

<file path=xl/styles.xml><?xml version="1.0" encoding="utf-8"?>
<styleSheet xmlns="http://schemas.openxmlformats.org/spreadsheetml/2006/main">
  <numFmts count="5">
    <numFmt numFmtId="164" formatCode="$#,##0.00"/>
    <numFmt numFmtId="165" formatCode="#,##0 &quot; SQF&quot;"/>
    <numFmt numFmtId="166" formatCode="0.0 &quot;hrs&quot;"/>
    <numFmt numFmtId="167" formatCode="0.0 &quot;hrs total&quot;"/>
    <numFmt numFmtId="168" formatCode="0.0%"/>
  </numFmts>
  <fonts count="20">
    <font>
      <name val="Calibri"/>
      <family val="2"/>
      <color theme="1"/>
      <sz val="11"/>
      <scheme val="minor"/>
    </font>
    <font>
      <name val="Calibri"/>
      <b val="1"/>
      <color rgb="00FFFFFF"/>
      <sz val="13"/>
    </font>
    <font>
      <name val="Calibri"/>
      <b val="1"/>
      <color rgb="0093C5FD"/>
      <sz val="9.5"/>
    </font>
    <font>
      <name val="Calibri"/>
      <b val="1"/>
      <color rgb="000F172A"/>
      <sz val="9"/>
    </font>
    <font>
      <name val="Calibri"/>
      <color rgb="00334155"/>
      <sz val="9"/>
    </font>
    <font>
      <name val="Calibri"/>
      <b val="1"/>
      <color rgb="00991B1B"/>
      <sz val="8.5"/>
    </font>
    <font>
      <name val="Calibri"/>
      <b val="1"/>
      <color rgb="00FFFFFF"/>
      <sz val="10"/>
    </font>
    <font>
      <name val="Calibri"/>
      <b val="1"/>
      <color rgb="0014532D"/>
      <sz val="8.5"/>
    </font>
    <font>
      <name val="Calibri"/>
      <b val="1"/>
      <color rgb="001E3A8A"/>
      <sz val="10.5"/>
    </font>
    <font>
      <name val="Calibri"/>
      <b val="1"/>
      <color rgb="00FFFFFF"/>
      <sz val="9"/>
    </font>
    <font>
      <name val="Calibri"/>
      <i val="1"/>
      <color rgb="0064748B"/>
      <sz val="8.5"/>
    </font>
    <font>
      <name val="Calibri"/>
      <b val="1"/>
      <color rgb="0016A34A"/>
      <sz val="8.5"/>
    </font>
    <font>
      <name val="Calibri"/>
      <b val="1"/>
      <color rgb="000F172A"/>
      <sz val="8.5"/>
    </font>
    <font>
      <name val="Calibri"/>
      <color rgb="00334155"/>
      <sz val="8"/>
    </font>
    <font>
      <name val="Calibri"/>
      <i val="1"/>
      <color rgb="00475569"/>
      <sz val="8.5"/>
    </font>
    <font>
      <name val="Calibri"/>
      <b val="1"/>
      <color rgb="00FFFFFF"/>
      <sz val="7.5"/>
    </font>
    <font>
      <name val="Calibri"/>
      <b val="1"/>
      <color rgb="00FFFFFF"/>
      <sz val="8.5"/>
    </font>
    <font>
      <name val="Calibri"/>
      <b val="1"/>
      <color rgb="0094A3B8"/>
      <sz val="8"/>
    </font>
    <font>
      <name val="Calibri"/>
      <b val="1"/>
      <color rgb="00FFFFFF"/>
      <sz val="8"/>
    </font>
    <font>
      <name val="Calibri"/>
      <i val="1"/>
      <color rgb="00475569"/>
      <sz val="8"/>
    </font>
  </fonts>
  <fills count="17">
    <fill>
      <patternFill/>
    </fill>
    <fill>
      <patternFill patternType="gray125"/>
    </fill>
    <fill>
      <patternFill patternType="solid">
        <fgColor rgb="000F172A"/>
        <bgColor rgb="000F172A"/>
      </patternFill>
    </fill>
    <fill>
      <patternFill patternType="solid">
        <fgColor rgb="00F8FAFC"/>
        <bgColor rgb="00F8FAFC"/>
      </patternFill>
    </fill>
    <fill>
      <patternFill patternType="solid">
        <fgColor rgb="00FEF2F2"/>
        <bgColor rgb="00FEF2F2"/>
      </patternFill>
    </fill>
    <fill>
      <patternFill patternType="solid">
        <fgColor rgb="001E3A8A"/>
        <bgColor rgb="001E3A8A"/>
      </patternFill>
    </fill>
    <fill>
      <patternFill patternType="solid">
        <fgColor rgb="00DCFCE7"/>
        <bgColor rgb="00DCFCE7"/>
      </patternFill>
    </fill>
    <fill>
      <patternFill patternType="solid">
        <fgColor rgb="00F1F5F9"/>
        <bgColor rgb="00F1F5F9"/>
      </patternFill>
    </fill>
    <fill>
      <patternFill patternType="solid">
        <fgColor rgb="00F0FDF4"/>
        <bgColor rgb="00F0FDF4"/>
      </patternFill>
    </fill>
    <fill>
      <patternFill patternType="solid">
        <fgColor rgb="0016A34A"/>
        <bgColor rgb="0016A34A"/>
      </patternFill>
    </fill>
    <fill>
      <patternFill patternType="solid">
        <fgColor rgb="000284C7"/>
        <bgColor rgb="000284C7"/>
      </patternFill>
    </fill>
    <fill>
      <patternFill patternType="solid">
        <fgColor rgb="002563EB"/>
        <bgColor rgb="002563EB"/>
      </patternFill>
    </fill>
    <fill>
      <patternFill patternType="solid">
        <fgColor rgb="00B45309"/>
        <bgColor rgb="00B45309"/>
      </patternFill>
    </fill>
    <fill>
      <patternFill patternType="solid">
        <fgColor rgb="00CBD5E1"/>
        <bgColor rgb="00CBD5E1"/>
      </patternFill>
    </fill>
    <fill>
      <patternFill patternType="solid">
        <fgColor rgb="00334155"/>
        <bgColor rgb="00334155"/>
      </patternFill>
    </fill>
    <fill>
      <patternFill patternType="solid">
        <fgColor rgb="00475569"/>
        <bgColor rgb="00475569"/>
      </patternFill>
    </fill>
    <fill>
      <patternFill patternType="solid">
        <fgColor rgb="00E2E8F0"/>
        <bgColor rgb="00E2E8F0"/>
      </patternFill>
    </fill>
  </fills>
  <borders count="3">
    <border>
      <left/>
      <right/>
      <top/>
      <bottom/>
      <diagonal/>
    </border>
    <border>
      <left style="thin">
        <color rgb="00CBD5E1"/>
      </left>
      <right style="thin">
        <color rgb="00CBD5E1"/>
      </right>
      <top style="thin">
        <color rgb="00CBD5E1"/>
      </top>
      <bottom style="thin">
        <color rgb="00CBD5E1"/>
      </bottom>
    </border>
    <border>
      <left style="thin">
        <color rgb="00CBD5E1"/>
      </left>
      <right style="thin">
        <color rgb="00CBD5E1"/>
      </right>
      <top style="thin">
        <color rgb="000F172A"/>
      </top>
      <bottom style="double">
        <color rgb="000F172A"/>
      </bottom>
    </border>
  </borders>
  <cellStyleXfs count="1">
    <xf numFmtId="0" fontId="0" fillId="0" borderId="0"/>
  </cellStyleXfs>
  <cellXfs count="91">
    <xf numFmtId="0" fontId="0" fillId="0" borderId="0" pivotButton="0" quotePrefix="0" xfId="0"/>
    <xf numFmtId="0" fontId="1" fillId="2" borderId="0" applyAlignment="1" pivotButton="0" quotePrefix="0" xfId="0">
      <alignment horizontal="left" vertical="center" indent="1"/>
    </xf>
    <xf numFmtId="0" fontId="2" fillId="2" borderId="0" applyAlignment="1" pivotButton="0" quotePrefix="0" xfId="0">
      <alignment horizontal="left" vertical="center" indent="1"/>
    </xf>
    <xf numFmtId="0" fontId="3" fillId="3" borderId="1" applyAlignment="1" pivotButton="0" quotePrefix="0" xfId="0">
      <alignment horizontal="left" vertical="center" indent="1"/>
    </xf>
    <xf numFmtId="0" fontId="0" fillId="3" borderId="1" pivotButton="0" quotePrefix="0" xfId="0"/>
    <xf numFmtId="0" fontId="4" fillId="0" borderId="1" applyAlignment="1" pivotButton="0" quotePrefix="0" xfId="0">
      <alignment horizontal="left" vertical="center"/>
    </xf>
    <xf numFmtId="0" fontId="0" fillId="0" borderId="1" pivotButton="0" quotePrefix="0" xfId="0"/>
    <xf numFmtId="0" fontId="5" fillId="4" borderId="1" applyAlignment="1" pivotButton="0" quotePrefix="0" xfId="0">
      <alignment horizontal="center" vertical="center"/>
    </xf>
    <xf numFmtId="0" fontId="6" fillId="5" borderId="1" applyAlignment="1" pivotButton="0" quotePrefix="0" xfId="0">
      <alignment horizontal="center" vertical="center"/>
    </xf>
    <xf numFmtId="0" fontId="4" fillId="0" borderId="1" applyAlignment="1" pivotButton="0" quotePrefix="0" xfId="0">
      <alignment horizontal="left" vertical="center" wrapText="1"/>
    </xf>
    <xf numFmtId="0" fontId="7" fillId="6" borderId="1" applyAlignment="1" pivotButton="0" quotePrefix="0" xfId="0">
      <alignment horizontal="left" vertical="center" wrapText="1"/>
    </xf>
    <xf numFmtId="0" fontId="8" fillId="0" borderId="0" pivotButton="0" quotePrefix="0" xfId="0"/>
    <xf numFmtId="0" fontId="9" fillId="5" borderId="1" applyAlignment="1" pivotButton="0" quotePrefix="0" xfId="0">
      <alignment horizontal="center" vertical="center" wrapText="1"/>
    </xf>
    <xf numFmtId="0" fontId="4" fillId="3" borderId="1" applyAlignment="1" pivotButton="0" quotePrefix="0" xfId="0">
      <alignment horizontal="center" vertical="center"/>
    </xf>
    <xf numFmtId="0" fontId="4" fillId="3" borderId="1" applyAlignment="1" pivotButton="0" quotePrefix="0" xfId="0">
      <alignment horizontal="left" vertical="center"/>
    </xf>
    <xf numFmtId="3" fontId="4" fillId="3" borderId="1" applyAlignment="1" pivotButton="0" quotePrefix="0" xfId="0">
      <alignment horizontal="center" vertical="center"/>
    </xf>
    <xf numFmtId="164" fontId="4" fillId="3" borderId="1" applyAlignment="1" pivotButton="0" quotePrefix="0" xfId="0">
      <alignment horizontal="right" vertical="center"/>
    </xf>
    <xf numFmtId="0" fontId="4" fillId="0" borderId="1" applyAlignment="1" pivotButton="0" quotePrefix="0" xfId="0">
      <alignment horizontal="center" vertical="center"/>
    </xf>
    <xf numFmtId="3" fontId="4" fillId="0" borderId="1" applyAlignment="1" pivotButton="0" quotePrefix="0" xfId="0">
      <alignment horizontal="center" vertical="center"/>
    </xf>
    <xf numFmtId="164" fontId="4" fillId="0" borderId="1" applyAlignment="1" pivotButton="0" quotePrefix="0" xfId="0">
      <alignment horizontal="right" vertical="center"/>
    </xf>
    <xf numFmtId="0" fontId="3" fillId="7" borderId="2" applyAlignment="1" pivotButton="0" quotePrefix="0" xfId="0">
      <alignment horizontal="center" vertical="center"/>
    </xf>
    <xf numFmtId="0" fontId="3" fillId="7" borderId="2" pivotButton="0" quotePrefix="0" xfId="0"/>
    <xf numFmtId="165" fontId="3" fillId="7" borderId="2" applyAlignment="1" pivotButton="0" quotePrefix="0" xfId="0">
      <alignment horizontal="center" vertical="center"/>
    </xf>
    <xf numFmtId="164" fontId="3" fillId="7" borderId="2" applyAlignment="1" pivotButton="0" quotePrefix="0" xfId="0">
      <alignment horizontal="right" vertical="center"/>
    </xf>
    <xf numFmtId="0" fontId="9" fillId="2" borderId="1" applyAlignment="1" pivotButton="0" quotePrefix="0" xfId="0">
      <alignment horizontal="center" vertical="center" wrapText="1"/>
    </xf>
    <xf numFmtId="0" fontId="0" fillId="2" borderId="1" pivotButton="0" quotePrefix="0" xfId="0"/>
    <xf numFmtId="0" fontId="4" fillId="0" borderId="1" pivotButton="0" quotePrefix="0" xfId="0"/>
    <xf numFmtId="0" fontId="10" fillId="0" borderId="1" applyAlignment="1" pivotButton="0" quotePrefix="0" xfId="0">
      <alignment horizontal="center" vertical="center"/>
    </xf>
    <xf numFmtId="164" fontId="0" fillId="0" borderId="1" applyAlignment="1" pivotButton="0" quotePrefix="0" xfId="0">
      <alignment horizontal="right" vertical="center"/>
    </xf>
    <xf numFmtId="0" fontId="4" fillId="3" borderId="1" pivotButton="0" quotePrefix="0" xfId="0"/>
    <xf numFmtId="0" fontId="10" fillId="3" borderId="1" applyAlignment="1" pivotButton="0" quotePrefix="0" xfId="0">
      <alignment horizontal="center" vertical="center"/>
    </xf>
    <xf numFmtId="164" fontId="0" fillId="3" borderId="1" applyAlignment="1" pivotButton="0" quotePrefix="0" xfId="0">
      <alignment horizontal="right" vertical="center"/>
    </xf>
    <xf numFmtId="0" fontId="11" fillId="0" borderId="1" applyAlignment="1" pivotButton="0" quotePrefix="0" xfId="0">
      <alignment horizontal="center" vertical="center"/>
    </xf>
    <xf numFmtId="0" fontId="9" fillId="2" borderId="1" applyAlignment="1" pivotButton="0" quotePrefix="0" xfId="0">
      <alignment horizontal="center" vertical="center"/>
    </xf>
    <xf numFmtId="0" fontId="12" fillId="8" borderId="1" applyAlignment="1" pivotButton="0" quotePrefix="0" xfId="0">
      <alignment horizontal="left" vertical="center" wrapText="1"/>
    </xf>
    <xf numFmtId="0" fontId="0" fillId="8" borderId="1" pivotButton="0" quotePrefix="0" xfId="0"/>
    <xf numFmtId="0" fontId="13" fillId="8" borderId="1" applyAlignment="1" pivotButton="0" quotePrefix="0" xfId="0">
      <alignment horizontal="left" vertical="center" wrapText="1"/>
    </xf>
    <xf numFmtId="0" fontId="12" fillId="8" borderId="1" applyAlignment="1" pivotButton="0" quotePrefix="0" xfId="0">
      <alignment horizontal="center" vertical="center"/>
    </xf>
    <xf numFmtId="0" fontId="12" fillId="8" borderId="1" applyAlignment="1" pivotButton="0" quotePrefix="0" xfId="0">
      <alignment horizontal="right" vertical="center" wrapText="1"/>
    </xf>
    <xf numFmtId="0" fontId="12" fillId="8" borderId="1" applyAlignment="1" pivotButton="0" quotePrefix="0" xfId="0">
      <alignment horizontal="center" vertical="center" wrapText="1"/>
    </xf>
    <xf numFmtId="0" fontId="12" fillId="0" borderId="1" applyAlignment="1" pivotButton="0" quotePrefix="0" xfId="0">
      <alignment horizontal="left" vertical="center" wrapText="1"/>
    </xf>
    <xf numFmtId="0" fontId="13" fillId="0" borderId="1" applyAlignment="1" pivotButton="0" quotePrefix="0" xfId="0">
      <alignment horizontal="left" vertical="center" wrapText="1"/>
    </xf>
    <xf numFmtId="0" fontId="12" fillId="0" borderId="1" applyAlignment="1" pivotButton="0" quotePrefix="0" xfId="0">
      <alignment horizontal="center" vertical="center"/>
    </xf>
    <xf numFmtId="0" fontId="12" fillId="0" borderId="1" applyAlignment="1" pivotButton="0" quotePrefix="0" xfId="0">
      <alignment horizontal="right" vertical="center" wrapText="1"/>
    </xf>
    <xf numFmtId="0" fontId="12" fillId="0" borderId="1" applyAlignment="1" pivotButton="0" quotePrefix="0" xfId="0">
      <alignment horizontal="center" vertical="center" wrapText="1"/>
    </xf>
    <xf numFmtId="0" fontId="12" fillId="3" borderId="1" applyAlignment="1" pivotButton="0" quotePrefix="0" xfId="0">
      <alignment horizontal="left" vertical="center" wrapText="1"/>
    </xf>
    <xf numFmtId="0" fontId="13" fillId="3" borderId="1" applyAlignment="1" pivotButton="0" quotePrefix="0" xfId="0">
      <alignment horizontal="left" vertical="center" wrapText="1"/>
    </xf>
    <xf numFmtId="0" fontId="12" fillId="3" borderId="1" applyAlignment="1" pivotButton="0" quotePrefix="0" xfId="0">
      <alignment horizontal="center" vertical="center"/>
    </xf>
    <xf numFmtId="0" fontId="12" fillId="3" borderId="1" applyAlignment="1" pivotButton="0" quotePrefix="0" xfId="0">
      <alignment horizontal="right" vertical="center" wrapText="1"/>
    </xf>
    <xf numFmtId="0" fontId="12" fillId="3" borderId="1" applyAlignment="1" pivotButton="0" quotePrefix="0" xfId="0">
      <alignment horizontal="center" vertical="center" wrapText="1"/>
    </xf>
    <xf numFmtId="0" fontId="13" fillId="3" borderId="1" applyAlignment="1" pivotButton="0" quotePrefix="0" xfId="0">
      <alignment horizontal="right" vertical="center" wrapText="1"/>
    </xf>
    <xf numFmtId="0" fontId="9" fillId="5" borderId="1" applyAlignment="1" pivotButton="0" quotePrefix="0" xfId="0">
      <alignment horizontal="center" vertical="center"/>
    </xf>
    <xf numFmtId="0" fontId="14" fillId="0" borderId="0" applyAlignment="1" pivotButton="0" quotePrefix="0" xfId="0">
      <alignment horizontal="left" vertical="center"/>
    </xf>
    <xf numFmtId="0" fontId="12" fillId="3" borderId="1" pivotButton="0" quotePrefix="0" xfId="0"/>
    <xf numFmtId="0" fontId="5" fillId="0" borderId="1" pivotButton="0" quotePrefix="0" xfId="0"/>
    <xf numFmtId="0" fontId="3" fillId="0" borderId="1" applyAlignment="1" pivotButton="0" quotePrefix="0" xfId="0">
      <alignment horizontal="center" vertical="center"/>
    </xf>
    <xf numFmtId="0" fontId="3" fillId="7" borderId="1" applyAlignment="1" pivotButton="0" quotePrefix="0" xfId="0">
      <alignment horizontal="center" vertical="center"/>
    </xf>
    <xf numFmtId="0" fontId="15" fillId="9" borderId="1" applyAlignment="1" pivotButton="0" quotePrefix="0" xfId="0">
      <alignment horizontal="center" vertical="center"/>
    </xf>
    <xf numFmtId="0" fontId="0" fillId="9" borderId="1" pivotButton="0" quotePrefix="0" xfId="0"/>
    <xf numFmtId="0" fontId="15" fillId="10" borderId="1" applyAlignment="1" pivotButton="0" quotePrefix="0" xfId="0">
      <alignment horizontal="center" vertical="center"/>
    </xf>
    <xf numFmtId="0" fontId="0" fillId="10" borderId="1" pivotButton="0" quotePrefix="0" xfId="0"/>
    <xf numFmtId="0" fontId="15" fillId="11" borderId="1" applyAlignment="1" pivotButton="0" quotePrefix="0" xfId="0">
      <alignment horizontal="center" vertical="center"/>
    </xf>
    <xf numFmtId="0" fontId="0" fillId="11" borderId="1" pivotButton="0" quotePrefix="0" xfId="0"/>
    <xf numFmtId="0" fontId="15" fillId="12" borderId="1" applyAlignment="1" pivotButton="0" quotePrefix="0" xfId="0">
      <alignment horizontal="center" vertical="center"/>
    </xf>
    <xf numFmtId="0" fontId="0" fillId="12" borderId="1" pivotButton="0" quotePrefix="0" xfId="0"/>
    <xf numFmtId="0" fontId="15" fillId="13" borderId="1" applyAlignment="1" pivotButton="0" quotePrefix="0" xfId="0">
      <alignment horizontal="center" vertical="center"/>
    </xf>
    <xf numFmtId="0" fontId="0" fillId="13" borderId="1" pivotButton="0" quotePrefix="0" xfId="0"/>
    <xf numFmtId="0" fontId="0" fillId="5" borderId="1" pivotButton="0" quotePrefix="0" xfId="0"/>
    <xf numFmtId="0" fontId="16" fillId="2" borderId="1" applyAlignment="1" pivotButton="0" quotePrefix="0" xfId="0">
      <alignment horizontal="center" vertical="center"/>
    </xf>
    <xf numFmtId="0" fontId="17" fillId="14" borderId="1" applyAlignment="1" pivotButton="0" quotePrefix="0" xfId="0">
      <alignment horizontal="center" vertical="center"/>
    </xf>
    <xf numFmtId="0" fontId="18" fillId="15" borderId="1" applyAlignment="1" pivotButton="0" quotePrefix="0" xfId="0">
      <alignment horizontal="center" vertical="center"/>
    </xf>
    <xf numFmtId="0" fontId="3" fillId="0" borderId="1" applyAlignment="1" pivotButton="0" quotePrefix="0" xfId="0">
      <alignment horizontal="left" vertical="center"/>
    </xf>
    <xf numFmtId="3" fontId="3" fillId="0" borderId="1" applyAlignment="1" pivotButton="0" quotePrefix="0" xfId="0">
      <alignment horizontal="center" vertical="center"/>
    </xf>
    <xf numFmtId="166" fontId="4" fillId="0" borderId="1" applyAlignment="1" pivotButton="0" quotePrefix="0" xfId="0">
      <alignment horizontal="center" vertical="center"/>
    </xf>
    <xf numFmtId="0" fontId="0" fillId="16" borderId="1" pivotButton="0" quotePrefix="0" xfId="0"/>
    <xf numFmtId="0" fontId="3" fillId="3" borderId="1" applyAlignment="1" pivotButton="0" quotePrefix="0" xfId="0">
      <alignment horizontal="left" vertical="center"/>
    </xf>
    <xf numFmtId="3" fontId="3" fillId="3" borderId="1" applyAlignment="1" pivotButton="0" quotePrefix="0" xfId="0">
      <alignment horizontal="center" vertical="center"/>
    </xf>
    <xf numFmtId="166" fontId="4" fillId="3" borderId="1" applyAlignment="1" pivotButton="0" quotePrefix="0" xfId="0">
      <alignment horizontal="center" vertical="center"/>
    </xf>
    <xf numFmtId="0" fontId="0" fillId="7" borderId="2" pivotButton="0" quotePrefix="0" xfId="0"/>
    <xf numFmtId="0" fontId="0" fillId="7" borderId="2" applyAlignment="1" pivotButton="0" quotePrefix="0" xfId="0">
      <alignment horizontal="center" vertical="center"/>
    </xf>
    <xf numFmtId="167" fontId="3" fillId="7" borderId="2" applyAlignment="1" pivotButton="0" quotePrefix="0" xfId="0">
      <alignment horizontal="center" vertical="center"/>
    </xf>
    <xf numFmtId="0" fontId="19" fillId="0" borderId="0" applyAlignment="1" pivotButton="0" quotePrefix="0" xfId="0">
      <alignment horizontal="left" vertical="center" wrapText="1"/>
    </xf>
    <xf numFmtId="2" fontId="4" fillId="0" borderId="1" applyAlignment="1" pivotButton="0" quotePrefix="0" xfId="0">
      <alignment horizontal="right" vertical="center"/>
    </xf>
    <xf numFmtId="164" fontId="3" fillId="0" borderId="1" applyAlignment="1" pivotButton="0" quotePrefix="0" xfId="0">
      <alignment horizontal="right" vertical="center"/>
    </xf>
    <xf numFmtId="168" fontId="3" fillId="0" borderId="1" applyAlignment="1" pivotButton="0" quotePrefix="0" xfId="0">
      <alignment horizontal="right" vertical="center"/>
    </xf>
    <xf numFmtId="2" fontId="4" fillId="3" borderId="1" applyAlignment="1" pivotButton="0" quotePrefix="0" xfId="0">
      <alignment horizontal="right" vertical="center"/>
    </xf>
    <xf numFmtId="164" fontId="3" fillId="3" borderId="1" applyAlignment="1" pivotButton="0" quotePrefix="0" xfId="0">
      <alignment horizontal="right" vertical="center"/>
    </xf>
    <xf numFmtId="168" fontId="3" fillId="3" borderId="1" applyAlignment="1" pivotButton="0" quotePrefix="0" xfId="0">
      <alignment horizontal="right" vertical="center"/>
    </xf>
    <xf numFmtId="0" fontId="3" fillId="7" borderId="2" applyAlignment="1" pivotButton="0" quotePrefix="0" xfId="0">
      <alignment horizontal="center" vertical="center" wrapText="1"/>
    </xf>
    <xf numFmtId="2" fontId="3" fillId="7" borderId="2" applyAlignment="1" pivotButton="0" quotePrefix="0" xfId="0">
      <alignment horizontal="right" vertical="center"/>
    </xf>
    <xf numFmtId="168" fontId="3" fillId="7" borderId="2"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drawings/_rels/drawing1.xml.rels><Relationships xmlns="http://schemas.openxmlformats.org/package/2006/relationships"><Relationship Type="http://schemas.openxmlformats.org/officeDocument/2006/relationships/image" Target="/xl/media/image1.jpeg" Id="rId1" /><Relationship Type="http://schemas.openxmlformats.org/officeDocument/2006/relationships/image" Target="/xl/media/image2.jpeg" Id="rId2" /><Relationship Type="http://schemas.openxmlformats.org/officeDocument/2006/relationships/image" Target="/xl/media/image3.jpeg" Id="rId3" /><Relationship Type="http://schemas.openxmlformats.org/officeDocument/2006/relationships/image" Target="/xl/media/image4.jpeg" Id="rId4"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1</col>
      <colOff>0</colOff>
      <row>59</row>
      <rowOff>0</rowOff>
    </from>
    <ext cx="1524000" cy="1857375"/>
    <pic>
      <nvPicPr>
        <cNvPr id="1" name="Image 1" descr="Picture"/>
        <cNvPicPr/>
      </nvPicPr>
      <blipFill>
        <a:blip cstate="print" r:embed="rId1"/>
        <a:stretch>
          <a:fillRect/>
        </a:stretch>
      </blipFill>
      <spPr>
        <a:prstGeom prst="rect"/>
      </spPr>
    </pic>
    <clientData/>
  </oneCellAnchor>
  <oneCellAnchor>
    <from>
      <col>7</col>
      <colOff>0</colOff>
      <row>59</row>
      <rowOff>0</rowOff>
    </from>
    <ext cx="1524000" cy="1857375"/>
    <pic>
      <nvPicPr>
        <cNvPr id="2" name="Image 2" descr="Picture"/>
        <cNvPicPr/>
      </nvPicPr>
      <blipFill>
        <a:blip cstate="print" r:embed="rId2"/>
        <a:stretch>
          <a:fillRect/>
        </a:stretch>
      </blipFill>
      <spPr>
        <a:prstGeom prst="rect"/>
      </spPr>
    </pic>
    <clientData/>
  </oneCellAnchor>
  <oneCellAnchor>
    <from>
      <col>1</col>
      <colOff>0</colOff>
      <row>66</row>
      <rowOff>0</rowOff>
    </from>
    <ext cx="1524000" cy="1857375"/>
    <pic>
      <nvPicPr>
        <cNvPr id="3" name="Image 3" descr="Picture"/>
        <cNvPicPr/>
      </nvPicPr>
      <blipFill>
        <a:blip cstate="print" r:embed="rId3"/>
        <a:stretch>
          <a:fillRect/>
        </a:stretch>
      </blipFill>
      <spPr>
        <a:prstGeom prst="rect"/>
      </spPr>
    </pic>
    <clientData/>
  </oneCellAnchor>
  <oneCellAnchor>
    <from>
      <col>7</col>
      <colOff>0</colOff>
      <row>66</row>
      <rowOff>0</rowOff>
    </from>
    <ext cx="1524000" cy="1857375"/>
    <pic>
      <nvPicPr>
        <cNvPr id="4" name="Image 4" descr="Picture"/>
        <cNvPicPr/>
      </nvPicPr>
      <blipFill>
        <a:blip cstate="print" r:embed="rId4"/>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fitToPage="1"/>
  </sheetPr>
  <dimension ref="A1:K71"/>
  <sheetViews>
    <sheetView showGridLines="1" workbookViewId="0">
      <selection activeCell="A1" sqref="A1"/>
    </sheetView>
  </sheetViews>
  <sheetFormatPr baseColWidth="8" defaultRowHeight="15" outlineLevelCol="0"/>
  <cols>
    <col width="5.5" customWidth="1" min="1" max="1"/>
    <col width="25" customWidth="1" min="2" max="2"/>
    <col width="22" customWidth="1" min="3" max="3"/>
    <col width="24" customWidth="1" min="4" max="4"/>
    <col width="14" customWidth="1" min="5" max="5"/>
    <col width="13" customWidth="1" min="6" max="6"/>
    <col width="18" customWidth="1" min="7" max="7"/>
    <col width="18" customWidth="1" min="8" max="8"/>
    <col width="16" customWidth="1" min="9" max="9"/>
    <col width="14" customWidth="1" min="10" max="10"/>
    <col width="19.5" customWidth="1" min="11" max="11"/>
  </cols>
  <sheetData>
    <row r="1" ht="24" customHeight="1">
      <c r="A1" s="1" t="inlineStr">
        <is>
          <t>HWB CLEANING SERVICES LLC</t>
        </is>
      </c>
    </row>
    <row r="2" ht="16" customHeight="1">
      <c r="A2" s="2" t="inlineStr">
        <is>
          <t>COMMERCIAL PROPOSAL: BOSANNA LLC — 11-BUILDING COMMERCIAL PORTFOLIO</t>
        </is>
      </c>
    </row>
    <row r="3" ht="4" customHeight="1"/>
    <row r="4" ht="18" customHeight="1">
      <c r="A4" s="3" t="inlineStr">
        <is>
          <t>Client / Prime:</t>
        </is>
      </c>
      <c r="B4" s="4" t="n"/>
      <c r="C4" s="5" t="inlineStr">
        <is>
          <t>Bosanna LLC (Attn: Angelica Hudgins)</t>
        </is>
      </c>
      <c r="D4" s="6" t="n"/>
      <c r="E4" s="6" t="n"/>
      <c r="F4" s="6" t="n"/>
      <c r="G4" s="3" t="inlineStr">
        <is>
          <t>Proposal ID:</t>
        </is>
      </c>
      <c r="H4" s="4" t="n"/>
      <c r="I4" s="5" t="inlineStr">
        <is>
          <t>HWB-BID-2026-FW01 (v3.8.0)</t>
        </is>
      </c>
      <c r="J4" s="6" t="n"/>
      <c r="K4" s="6" t="n"/>
    </row>
    <row r="5" ht="18" customHeight="1">
      <c r="A5" s="3" t="inlineStr">
        <is>
          <t>End Client Portfolio:</t>
        </is>
      </c>
      <c r="B5" s="4" t="n"/>
      <c r="C5" s="5" t="inlineStr">
        <is>
          <t>Bosanna LLC (11 Landmark Buildings)</t>
        </is>
      </c>
      <c r="D5" s="6" t="n"/>
      <c r="E5" s="6" t="n"/>
      <c r="F5" s="6" t="n"/>
      <c r="G5" s="3" t="inlineStr">
        <is>
          <t>Effective Date:</t>
        </is>
      </c>
      <c r="H5" s="4" t="n"/>
      <c r="I5" s="5" t="inlineStr">
        <is>
          <t>September 04, 2026</t>
        </is>
      </c>
      <c r="J5" s="6" t="n"/>
      <c r="K5" s="6" t="n"/>
    </row>
    <row r="6" ht="18" customHeight="1">
      <c r="A6" s="3" t="inlineStr">
        <is>
          <t>Central Office:</t>
        </is>
      </c>
      <c r="B6" s="4" t="n"/>
      <c r="C6" s="5" t="inlineStr">
        <is>
          <t>425 Houston Street, Suite 250, Fort Worth, TX 76102</t>
        </is>
      </c>
      <c r="D6" s="6" t="n"/>
      <c r="E6" s="6" t="n"/>
      <c r="F6" s="6" t="n"/>
      <c r="G6" s="3" t="inlineStr">
        <is>
          <t>Dispatch Origin:</t>
        </is>
      </c>
      <c r="H6" s="4" t="n"/>
      <c r="I6" s="5" t="inlineStr">
        <is>
          <t>Arlington, TX</t>
        </is>
      </c>
      <c r="J6" s="6" t="n"/>
      <c r="K6" s="6" t="n"/>
    </row>
    <row r="7" ht="18" customHeight="1">
      <c r="A7" s="3" t="inlineStr">
        <is>
          <t>Primary Scope:</t>
        </is>
      </c>
      <c r="B7" s="4" t="n"/>
      <c r="C7" s="5" t="inlineStr">
        <is>
          <t>11 Ground-Floor Commercial Lobbies (11,153 Cleanable SF)</t>
        </is>
      </c>
      <c r="D7" s="6" t="n"/>
      <c r="E7" s="6" t="n"/>
      <c r="F7" s="6" t="n"/>
      <c r="G7" s="3" t="inlineStr">
        <is>
          <t>Subcontractor Role:</t>
        </is>
      </c>
      <c r="H7" s="4" t="n"/>
      <c r="I7" s="5" t="inlineStr">
        <is>
          <t>Specialized Floor Care Crew (2 Techs)</t>
        </is>
      </c>
      <c r="J7" s="6" t="n"/>
      <c r="K7" s="6" t="n"/>
    </row>
    <row r="8" ht="18" customHeight="1">
      <c r="A8" s="7" t="inlineStr">
        <is>
          <t>DATA INTEGRITY NOTICE (ISO 9001 Clause 8.2.2): Cleanable square footages are reconciled to on-site empirical field measurements (11,153 Cleanable SF).</t>
        </is>
      </c>
      <c r="B8" s="6" t="n"/>
      <c r="C8" s="6" t="n"/>
      <c r="D8" s="6" t="n"/>
      <c r="E8" s="6" t="n"/>
      <c r="F8" s="6" t="n"/>
      <c r="G8" s="6" t="n"/>
      <c r="H8" s="6" t="n"/>
      <c r="I8" s="6" t="n"/>
      <c r="J8" s="6" t="n"/>
      <c r="K8" s="6" t="n"/>
    </row>
    <row r="9" ht="6" customHeight="1"/>
    <row r="10" ht="20" customHeight="1">
      <c r="A10" s="8" t="inlineStr">
        <is>
          <t>EXECUTIVE SUMMARY: CLIENT NEEDS, GOALS &amp; OUR PROPOSED PLAN</t>
        </is>
      </c>
      <c r="B10" s="6" t="n"/>
      <c r="C10" s="6" t="n"/>
      <c r="D10" s="6" t="n"/>
      <c r="E10" s="6" t="n"/>
      <c r="F10" s="6" t="n"/>
      <c r="G10" s="6" t="n"/>
      <c r="H10" s="6" t="n"/>
      <c r="I10" s="6" t="n"/>
      <c r="J10" s="6" t="n"/>
      <c r="K10" s="6" t="n"/>
    </row>
    <row r="11" ht="28" customHeight="1">
      <c r="A11" s="9" t="inlineStr">
        <is>
          <t>1. Current Situation &amp; Needs: Bosanna LLC oversees facilities operations for its commercial portfolio across 11 landmark downtown buildings in Sundance Square. Heavy daily foot traffic, grit, and rain have dulled entrance lobbies, settling dirt into stone and grout pores. As specialized floor care subcontractor to Bosanna LLC, HWB ensures all lobbies project an immaculate first impression.</t>
        </is>
      </c>
      <c r="B11" s="6" t="n"/>
      <c r="C11" s="6" t="n"/>
      <c r="D11" s="6" t="n"/>
      <c r="E11" s="6" t="n"/>
      <c r="F11" s="6" t="n"/>
      <c r="G11" s="6" t="n"/>
      <c r="H11" s="6" t="n"/>
      <c r="I11" s="6" t="n"/>
      <c r="J11" s="6" t="n"/>
      <c r="K11" s="6" t="n"/>
    </row>
    <row r="12" ht="28" customHeight="1">
      <c r="A12" s="9" t="inlineStr">
        <is>
          <t>2. Client Goals: (1) Strip away old ground-in soil to reveal true floor condition and existing damage; (2) Seal stone and grout pores to prevent coffee, drink, and grease stains; (3) Set up a predictable maintenance routine (quarterly/semi-annual) within budget; (4) Ensure zero daytime tenant disruption.</t>
        </is>
      </c>
      <c r="B12" s="6" t="n"/>
      <c r="C12" s="6" t="n"/>
      <c r="D12" s="6" t="n"/>
      <c r="E12" s="6" t="n"/>
      <c r="F12" s="6" t="n"/>
      <c r="G12" s="6" t="n"/>
      <c r="H12" s="6" t="n"/>
      <c r="I12" s="6" t="n"/>
      <c r="J12" s="6" t="n"/>
      <c r="K12" s="6" t="n"/>
    </row>
    <row r="13" ht="26" customHeight="1">
      <c r="A13" s="9" t="inlineStr">
        <is>
          <t>3. Proposed 3-Phase Solution: (1) Phase 1 Deep Clean Reset (rotary machine scrub &amp; edge extraction); (2) Phase 2 Sub-Surface Sealer (STONETECH® BulletProof® oil/water barrier); (3) Phase 3 Scheduled Care via Track A (Quarterly) or Track B (Semi-Annual) recurring programs.</t>
        </is>
      </c>
      <c r="B13" s="6" t="n"/>
      <c r="C13" s="6" t="n"/>
      <c r="D13" s="6" t="n"/>
      <c r="E13" s="6" t="n"/>
      <c r="F13" s="6" t="n"/>
      <c r="G13" s="6" t="n"/>
      <c r="H13" s="6" t="n"/>
      <c r="I13" s="6" t="n"/>
      <c r="J13" s="6" t="n"/>
      <c r="K13" s="6" t="n"/>
    </row>
    <row r="14" ht="42" customHeight="1">
      <c r="A14" s="10" t="inlineStr">
        <is>
          <t>💰 Bosanna LLC Subcontractor Direct Partnership Advantage: As a specialized floor care subcontractor to Bosanna LLC, HWB has applied a full 25% direct discount on square footage rates across all 11 properties—providing a direct 20¢ per sq. ft. discount on Phase 1 deep cleaning (lowering the rate from $0.80 down to $0.60/SF) and a total 27.75¢ per sq. ft. discount across complete initial reset &amp; sealing (reducing from $1.11 down to $0.8325/SF; Total Initial Reset: $9,685.30 complete vs. $12,913.74 regular, saving Bosanna $3,228.44). Operations run on flexible night shifts post-7:00 PM with zero tenant disruption.</t>
        </is>
      </c>
      <c r="B14" s="6" t="n"/>
      <c r="C14" s="6" t="n"/>
      <c r="D14" s="6" t="n"/>
      <c r="E14" s="6" t="n"/>
      <c r="F14" s="6" t="n"/>
      <c r="G14" s="6" t="n"/>
      <c r="H14" s="6" t="n"/>
      <c r="I14" s="6" t="n"/>
      <c r="J14" s="6" t="n"/>
      <c r="K14" s="6" t="n"/>
    </row>
    <row r="15" ht="6" customHeight="1"/>
    <row r="16" ht="20" customHeight="1">
      <c r="A16" s="11" t="inlineStr">
        <is>
          <t>1.0 COMMERCIAL PRICING SCHEDULE: INITIAL RESET &amp; RECURRING MAINTENANCE PROGRAMS</t>
        </is>
      </c>
    </row>
    <row r="17" ht="32" customHeight="1">
      <c r="A17" s="12" t="inlineStr">
        <is>
          <t>Item</t>
        </is>
      </c>
      <c r="B17" s="12" t="inlineStr">
        <is>
          <t>Building Name</t>
        </is>
      </c>
      <c r="C17" s="12" t="inlineStr">
        <is>
          <t>Address</t>
        </is>
      </c>
      <c r="D17" s="12" t="inlineStr">
        <is>
          <t>Primary floor system</t>
        </is>
      </c>
      <c r="E17" s="12" t="inlineStr">
        <is>
          <t>Cleanable Area
(SQFT)</t>
        </is>
      </c>
      <c r="F17" s="12" t="inlineStr">
        <is>
          <t>Phase 1 Rate
(Per SF)</t>
        </is>
      </c>
      <c r="G17" s="12" t="inlineStr">
        <is>
          <t>Phase 1 deep clean
(expose damage to
consider options)</t>
        </is>
      </c>
      <c r="H17" s="12" t="inlineStr">
        <is>
          <t>Quarterly Rate
(Per SF)</t>
        </is>
      </c>
      <c r="I17" s="12" t="inlineStr">
        <is>
          <t>Track A: Quarterly
(Every 3 Months)</t>
        </is>
      </c>
      <c r="J17" s="12" t="inlineStr">
        <is>
          <t>Semi-Annual Rate
(Per SF)</t>
        </is>
      </c>
      <c r="K17" s="12" t="inlineStr">
        <is>
          <t>Track B: Semi-Annual
(Every 6 Months)</t>
        </is>
      </c>
    </row>
    <row r="18" ht="16" customHeight="1">
      <c r="A18" s="13" t="n">
        <v>1</v>
      </c>
      <c r="B18" s="14" t="inlineStr">
        <is>
          <t>Chase Bank Building</t>
        </is>
      </c>
      <c r="C18" s="14" t="inlineStr">
        <is>
          <t>420 Throckmorton St</t>
        </is>
      </c>
      <c r="D18" s="14" t="inlineStr">
        <is>
          <t>Polished Terrazzo</t>
        </is>
      </c>
      <c r="E18" s="15" t="n">
        <v>2126</v>
      </c>
      <c r="F18" s="16" t="n">
        <v>0.6</v>
      </c>
      <c r="G18" s="16">
        <f>MAX(E18,600)*F18</f>
        <v/>
      </c>
      <c r="H18" s="16" t="n">
        <v>0.405</v>
      </c>
      <c r="I18" s="16">
        <f>MAX(E18,600)*H18</f>
        <v/>
      </c>
      <c r="J18" s="16" t="n">
        <v>0.51</v>
      </c>
      <c r="K18" s="16">
        <f>MAX(E18,600)*J18</f>
        <v/>
      </c>
    </row>
    <row r="19" ht="16" customHeight="1">
      <c r="A19" s="17" t="n">
        <v>2</v>
      </c>
      <c r="B19" s="5" t="inlineStr">
        <is>
          <t>The Westbrook</t>
        </is>
      </c>
      <c r="C19" s="5" t="inlineStr">
        <is>
          <t>425 Houston St</t>
        </is>
      </c>
      <c r="D19" s="5" t="inlineStr">
        <is>
          <t>Polished Terrazzo</t>
        </is>
      </c>
      <c r="E19" s="18" t="n">
        <v>1520</v>
      </c>
      <c r="F19" s="19" t="n">
        <v>0.6</v>
      </c>
      <c r="G19" s="19">
        <f>MAX(E19,600)*F19</f>
        <v/>
      </c>
      <c r="H19" s="19" t="n">
        <v>0.405</v>
      </c>
      <c r="I19" s="19">
        <f>MAX(E19,600)*H19</f>
        <v/>
      </c>
      <c r="J19" s="19" t="n">
        <v>0.51</v>
      </c>
      <c r="K19" s="19">
        <f>MAX(E19,600)*J19</f>
        <v/>
      </c>
    </row>
    <row r="20" ht="16" customHeight="1">
      <c r="A20" s="13" t="n">
        <v>3</v>
      </c>
      <c r="B20" s="14" t="inlineStr">
        <is>
          <t>The Carnegie</t>
        </is>
      </c>
      <c r="C20" s="14" t="inlineStr">
        <is>
          <t>421 W 3rd St</t>
        </is>
      </c>
      <c r="D20" s="14" t="inlineStr">
        <is>
          <t>Polished Terrazzo</t>
        </is>
      </c>
      <c r="E20" s="15" t="n">
        <v>1175</v>
      </c>
      <c r="F20" s="16" t="n">
        <v>0.6</v>
      </c>
      <c r="G20" s="16">
        <f>MAX(E20,600)*F20</f>
        <v/>
      </c>
      <c r="H20" s="16" t="n">
        <v>0.405</v>
      </c>
      <c r="I20" s="16">
        <f>MAX(E20,600)*H20</f>
        <v/>
      </c>
      <c r="J20" s="16" t="n">
        <v>0.51</v>
      </c>
      <c r="K20" s="16">
        <f>MAX(E20,600)*J20</f>
        <v/>
      </c>
    </row>
    <row r="21" ht="16" customHeight="1">
      <c r="A21" s="17" t="n">
        <v>4</v>
      </c>
      <c r="B21" s="5" t="inlineStr">
        <is>
          <t>The Cassidy</t>
        </is>
      </c>
      <c r="C21" s="5" t="inlineStr">
        <is>
          <t>407 Throckmorton St</t>
        </is>
      </c>
      <c r="D21" s="5" t="inlineStr">
        <is>
          <t>Polished Terrazzo</t>
        </is>
      </c>
      <c r="E21" s="18" t="n">
        <v>1134</v>
      </c>
      <c r="F21" s="19" t="n">
        <v>0.6</v>
      </c>
      <c r="G21" s="19">
        <f>MAX(E21,600)*F21</f>
        <v/>
      </c>
      <c r="H21" s="19" t="n">
        <v>0.405</v>
      </c>
      <c r="I21" s="19">
        <f>MAX(E21,600)*H21</f>
        <v/>
      </c>
      <c r="J21" s="19" t="n">
        <v>0.51</v>
      </c>
      <c r="K21" s="19">
        <f>MAX(E21,600)*J21</f>
        <v/>
      </c>
    </row>
    <row r="22" ht="16" customHeight="1">
      <c r="A22" s="13" t="n">
        <v>5</v>
      </c>
      <c r="B22" s="14" t="inlineStr">
        <is>
          <t>Burk Burnett Building</t>
        </is>
      </c>
      <c r="C22" s="14" t="inlineStr">
        <is>
          <t>500 Main St</t>
        </is>
      </c>
      <c r="D22" s="14" t="inlineStr">
        <is>
          <t>Ceramic Mosaic Tile</t>
        </is>
      </c>
      <c r="E22" s="15" t="n">
        <v>1108</v>
      </c>
      <c r="F22" s="16" t="n">
        <v>0.6</v>
      </c>
      <c r="G22" s="16">
        <f>MAX(E22,600)*F22</f>
        <v/>
      </c>
      <c r="H22" s="16" t="n">
        <v>0.405</v>
      </c>
      <c r="I22" s="16">
        <f>MAX(E22,600)*H22</f>
        <v/>
      </c>
      <c r="J22" s="16" t="n">
        <v>0.51</v>
      </c>
      <c r="K22" s="16">
        <f>MAX(E22,600)*J22</f>
        <v/>
      </c>
    </row>
    <row r="23" ht="16" customHeight="1">
      <c r="A23" s="17" t="n">
        <v>6</v>
      </c>
      <c r="B23" s="5" t="inlineStr">
        <is>
          <t>Sanger Lofts</t>
        </is>
      </c>
      <c r="C23" s="5" t="inlineStr">
        <is>
          <t>222 W 4th St</t>
        </is>
      </c>
      <c r="D23" s="5" t="inlineStr">
        <is>
          <t>Polished Terrazzo</t>
        </is>
      </c>
      <c r="E23" s="18" t="n">
        <v>1071</v>
      </c>
      <c r="F23" s="19" t="n">
        <v>0.6</v>
      </c>
      <c r="G23" s="19">
        <f>MAX(E23,600)*F23</f>
        <v/>
      </c>
      <c r="H23" s="19" t="n">
        <v>0.405</v>
      </c>
      <c r="I23" s="19">
        <f>MAX(E23,600)*H23</f>
        <v/>
      </c>
      <c r="J23" s="19" t="n">
        <v>0.51</v>
      </c>
      <c r="K23" s="19">
        <f>MAX(E23,600)*J23</f>
        <v/>
      </c>
    </row>
    <row r="24" ht="16" customHeight="1">
      <c r="A24" s="13" t="n">
        <v>7</v>
      </c>
      <c r="B24" s="14" t="inlineStr">
        <is>
          <t>Petroleum Building</t>
        </is>
      </c>
      <c r="C24" s="14" t="inlineStr">
        <is>
          <t>210 W 6th St</t>
        </is>
      </c>
      <c r="D24" s="14" t="inlineStr">
        <is>
          <t>Polished Marble Tile</t>
        </is>
      </c>
      <c r="E24" s="15" t="n">
        <v>860</v>
      </c>
      <c r="F24" s="16" t="n">
        <v>0.6</v>
      </c>
      <c r="G24" s="16">
        <f>MAX(E24,600)*F24</f>
        <v/>
      </c>
      <c r="H24" s="16" t="n">
        <v>0.405</v>
      </c>
      <c r="I24" s="16">
        <f>MAX(E24,600)*H24</f>
        <v/>
      </c>
      <c r="J24" s="16" t="n">
        <v>0.51</v>
      </c>
      <c r="K24" s="16">
        <f>MAX(E24,600)*J24</f>
        <v/>
      </c>
    </row>
    <row r="25" ht="16" customHeight="1">
      <c r="A25" s="17" t="n">
        <v>8</v>
      </c>
      <c r="B25" s="5" t="inlineStr">
        <is>
          <t>The Commerce Building</t>
        </is>
      </c>
      <c r="C25" s="5" t="inlineStr">
        <is>
          <t>420 Commerce St</t>
        </is>
      </c>
      <c r="D25" s="5" t="inlineStr">
        <is>
          <t>Terrazzo Tile</t>
        </is>
      </c>
      <c r="E25" s="18" t="n">
        <v>840</v>
      </c>
      <c r="F25" s="19" t="n">
        <v>0.6</v>
      </c>
      <c r="G25" s="19">
        <f>MAX(E25,600)*F25</f>
        <v/>
      </c>
      <c r="H25" s="19" t="n">
        <v>0.405</v>
      </c>
      <c r="I25" s="19">
        <f>MAX(E25,600)*H25</f>
        <v/>
      </c>
      <c r="J25" s="19" t="n">
        <v>0.51</v>
      </c>
      <c r="K25" s="19">
        <f>MAX(E25,600)*J25</f>
        <v/>
      </c>
    </row>
    <row r="26" ht="16" customHeight="1">
      <c r="A26" s="13" t="n">
        <v>9</v>
      </c>
      <c r="B26" s="14" t="inlineStr">
        <is>
          <t>Virtuoso Building</t>
        </is>
      </c>
      <c r="C26" s="14" t="inlineStr">
        <is>
          <t>505 Main St</t>
        </is>
      </c>
      <c r="D26" s="14" t="inlineStr">
        <is>
          <t>Polished Marble Tile</t>
        </is>
      </c>
      <c r="E26" s="15" t="n">
        <v>560</v>
      </c>
      <c r="F26" s="16" t="n">
        <v>0.6</v>
      </c>
      <c r="G26" s="16">
        <f>MAX(E26,600)*F26</f>
        <v/>
      </c>
      <c r="H26" s="16" t="n">
        <v>0.405</v>
      </c>
      <c r="I26" s="16">
        <f>MAX(E26,600)*H26</f>
        <v/>
      </c>
      <c r="J26" s="16" t="n">
        <v>0.51</v>
      </c>
      <c r="K26" s="16">
        <f>MAX(E26,600)*J26</f>
        <v/>
      </c>
    </row>
    <row r="27" ht="16" customHeight="1">
      <c r="A27" s="17" t="n">
        <v>10</v>
      </c>
      <c r="B27" s="5" t="inlineStr">
        <is>
          <t>Knights of Pythias Hall</t>
        </is>
      </c>
      <c r="C27" s="5" t="inlineStr">
        <is>
          <t>109-110 E 3rd St</t>
        </is>
      </c>
      <c r="D27" s="5" t="inlineStr">
        <is>
          <t>Ceramic Mosaic Tile</t>
        </is>
      </c>
      <c r="E27" s="18" t="n">
        <v>414</v>
      </c>
      <c r="F27" s="19" t="n">
        <v>0.6</v>
      </c>
      <c r="G27" s="19">
        <f>MAX(E27,600)*F27</f>
        <v/>
      </c>
      <c r="H27" s="19" t="n">
        <v>0.405</v>
      </c>
      <c r="I27" s="19">
        <f>MAX(E27,600)*H27</f>
        <v/>
      </c>
      <c r="J27" s="19" t="n">
        <v>0.51</v>
      </c>
      <c r="K27" s="19">
        <f>MAX(E27,600)*J27</f>
        <v/>
      </c>
    </row>
    <row r="28" ht="16" customHeight="1">
      <c r="A28" s="13" t="n">
        <v>11</v>
      </c>
      <c r="B28" s="14" t="inlineStr">
        <is>
          <t>Plaza Hotel Building</t>
        </is>
      </c>
      <c r="C28" s="14" t="inlineStr">
        <is>
          <t>303 Main St</t>
        </is>
      </c>
      <c r="D28" s="14" t="inlineStr">
        <is>
          <t>Commercial Quarry Tile</t>
        </is>
      </c>
      <c r="E28" s="15" t="n">
        <v>345</v>
      </c>
      <c r="F28" s="16" t="n">
        <v>0.6</v>
      </c>
      <c r="G28" s="16">
        <f>MAX(E28,600)*F28</f>
        <v/>
      </c>
      <c r="H28" s="16" t="n">
        <v>0.405</v>
      </c>
      <c r="I28" s="16">
        <f>MAX(E28,600)*H28</f>
        <v/>
      </c>
      <c r="J28" s="16" t="n">
        <v>0.51</v>
      </c>
      <c r="K28" s="16">
        <f>MAX(E28,600)*J28</f>
        <v/>
      </c>
    </row>
    <row r="29" ht="20" customHeight="1">
      <c r="A29" s="20" t="inlineStr">
        <is>
          <t>GRAND TOTAL SQUARE FOOTAGE (11 Lobbies)</t>
        </is>
      </c>
      <c r="B29" s="21" t="n"/>
      <c r="C29" s="21" t="n"/>
      <c r="D29" s="21" t="n"/>
      <c r="E29" s="22">
        <f>SUM(E18:E28)</f>
        <v/>
      </c>
      <c r="F29" s="20" t="inlineStr">
        <is>
          <t>$0.60 avg</t>
        </is>
      </c>
      <c r="G29" s="23">
        <f>SUM(G18:G28)</f>
        <v/>
      </c>
      <c r="H29" s="20" t="inlineStr">
        <is>
          <t>$0.405 avg</t>
        </is>
      </c>
      <c r="I29" s="23">
        <f>SUM(I18:I28)</f>
        <v/>
      </c>
      <c r="J29" s="20" t="inlineStr">
        <is>
          <t>$0.51 avg</t>
        </is>
      </c>
      <c r="K29" s="23">
        <f>SUM(K18:K28)</f>
        <v/>
      </c>
    </row>
    <row r="30" ht="6" customHeight="1"/>
    <row r="31" ht="20" customHeight="1">
      <c r="A31" s="11" t="inlineStr">
        <is>
          <t>2.0 ADDITIONAL CLIENT OPTIONS: PENETRATING SEALER, STAIRCARE, DIAMOND RESTORATION &amp; ART HANDLING</t>
        </is>
      </c>
    </row>
    <row r="32" ht="32" customHeight="1">
      <c r="A32" s="24" t="inlineStr">
        <is>
          <t>Item</t>
        </is>
      </c>
      <c r="B32" s="24" t="inlineStr">
        <is>
          <t>Building Name</t>
        </is>
      </c>
      <c r="C32" s="24" t="inlineStr">
        <is>
          <t>Address</t>
        </is>
      </c>
      <c r="D32" s="24" t="inlineStr">
        <is>
          <t>Primary floor system</t>
        </is>
      </c>
      <c r="E32" s="24" t="inlineStr">
        <is>
          <t>Cleanable Area
(SQFT)</t>
        </is>
      </c>
      <c r="F32" s="24" t="inlineStr">
        <is>
          <t>Option A: Sealer
(BulletProof®)
$0.2325 / SF</t>
        </is>
      </c>
      <c r="G32" s="25" t="n"/>
      <c r="H32" s="24" t="inlineStr">
        <is>
          <t>Option B: Stair Care
(Unit Rate Add-On
500 Main St Only)*</t>
        </is>
      </c>
      <c r="I32" s="24" t="inlineStr">
        <is>
          <t>Option C: Capital Diamond Restoration
(Restores Mirror Shine • Marble &amp; Terrazzo Only)
$1.9875 / SF</t>
        </is>
      </c>
      <c r="J32" s="25" t="n"/>
      <c r="K32" s="24" t="inlineStr">
        <is>
          <t>Option D: Furniture Handling
(Hourly T&amp;M)
Available Per Hour</t>
        </is>
      </c>
    </row>
    <row r="33" ht="16" customHeight="1">
      <c r="A33" s="17" t="n">
        <v>1</v>
      </c>
      <c r="B33" s="5" t="inlineStr">
        <is>
          <t>Chase Bank Building</t>
        </is>
      </c>
      <c r="C33" s="5" t="inlineStr">
        <is>
          <t>420 Throckmorton St</t>
        </is>
      </c>
      <c r="D33" s="5" t="inlineStr">
        <is>
          <t>Polished Terrazzo</t>
        </is>
      </c>
      <c r="E33" s="18">
        <f>E18</f>
        <v/>
      </c>
      <c r="F33" s="19">
        <f>MAX(E33,600)*0.2325</f>
        <v/>
      </c>
      <c r="G33" s="26" t="n"/>
      <c r="H33" s="27" t="inlineStr">
        <is>
          <t>N/A (Excluded)</t>
        </is>
      </c>
      <c r="I33" s="28">
        <f>MAX(E33,600)*1.9875</f>
        <v/>
      </c>
      <c r="J33" s="6" t="n"/>
      <c r="K33" s="17" t="inlineStr">
        <is>
          <t>Available Per Hour</t>
        </is>
      </c>
    </row>
    <row r="34" ht="16" customHeight="1">
      <c r="A34" s="13" t="n">
        <v>2</v>
      </c>
      <c r="B34" s="14" t="inlineStr">
        <is>
          <t>The Westbrook</t>
        </is>
      </c>
      <c r="C34" s="14" t="inlineStr">
        <is>
          <t>425 Houston St</t>
        </is>
      </c>
      <c r="D34" s="14" t="inlineStr">
        <is>
          <t>Polished Terrazzo</t>
        </is>
      </c>
      <c r="E34" s="15">
        <f>E19</f>
        <v/>
      </c>
      <c r="F34" s="16">
        <f>MAX(E34,600)*0.2325</f>
        <v/>
      </c>
      <c r="G34" s="29" t="n"/>
      <c r="H34" s="30" t="inlineStr">
        <is>
          <t>N/A (Excluded)</t>
        </is>
      </c>
      <c r="I34" s="31">
        <f>MAX(E34,600)*1.9875</f>
        <v/>
      </c>
      <c r="J34" s="4" t="n"/>
      <c r="K34" s="13" t="inlineStr">
        <is>
          <t>Available Per Hour</t>
        </is>
      </c>
    </row>
    <row r="35" ht="16" customHeight="1">
      <c r="A35" s="17" t="n">
        <v>3</v>
      </c>
      <c r="B35" s="5" t="inlineStr">
        <is>
          <t>The Carnegie</t>
        </is>
      </c>
      <c r="C35" s="5" t="inlineStr">
        <is>
          <t>421 W 3rd St</t>
        </is>
      </c>
      <c r="D35" s="5" t="inlineStr">
        <is>
          <t>Polished Terrazzo</t>
        </is>
      </c>
      <c r="E35" s="18">
        <f>E20</f>
        <v/>
      </c>
      <c r="F35" s="19">
        <f>MAX(E35,600)*0.2325</f>
        <v/>
      </c>
      <c r="G35" s="26" t="n"/>
      <c r="H35" s="27" t="inlineStr">
        <is>
          <t>N/A (Excluded)</t>
        </is>
      </c>
      <c r="I35" s="28">
        <f>MAX(E35,600)*1.9875</f>
        <v/>
      </c>
      <c r="J35" s="6" t="n"/>
      <c r="K35" s="17" t="inlineStr">
        <is>
          <t>Available Per Hour</t>
        </is>
      </c>
    </row>
    <row r="36" ht="16" customHeight="1">
      <c r="A36" s="13" t="n">
        <v>4</v>
      </c>
      <c r="B36" s="14" t="inlineStr">
        <is>
          <t>The Cassidy</t>
        </is>
      </c>
      <c r="C36" s="14" t="inlineStr">
        <is>
          <t>407 Throckmorton St</t>
        </is>
      </c>
      <c r="D36" s="14" t="inlineStr">
        <is>
          <t>Polished Terrazzo</t>
        </is>
      </c>
      <c r="E36" s="15">
        <f>E21</f>
        <v/>
      </c>
      <c r="F36" s="16">
        <f>MAX(E36,600)*0.2325</f>
        <v/>
      </c>
      <c r="G36" s="29" t="n"/>
      <c r="H36" s="30" t="inlineStr">
        <is>
          <t>N/A (Excluded)</t>
        </is>
      </c>
      <c r="I36" s="31">
        <f>MAX(E36,600)*1.9875</f>
        <v/>
      </c>
      <c r="J36" s="4" t="n"/>
      <c r="K36" s="13" t="inlineStr">
        <is>
          <t>Available Per Hour</t>
        </is>
      </c>
    </row>
    <row r="37" ht="16" customHeight="1">
      <c r="A37" s="17" t="n">
        <v>5</v>
      </c>
      <c r="B37" s="5" t="inlineStr">
        <is>
          <t>Burk Burnett Building</t>
        </is>
      </c>
      <c r="C37" s="5" t="inlineStr">
        <is>
          <t>500 Main St</t>
        </is>
      </c>
      <c r="D37" s="5" t="inlineStr">
        <is>
          <t>Ceramic Mosaic Tile</t>
        </is>
      </c>
      <c r="E37" s="18">
        <f>E22</f>
        <v/>
      </c>
      <c r="F37" s="19">
        <f>MAX(E37,600)*0.2325</f>
        <v/>
      </c>
      <c r="G37" s="26" t="n"/>
      <c r="H37" s="32" t="inlineStr">
        <is>
          <t>$3/Stp + $21/Lnd</t>
        </is>
      </c>
      <c r="I37" s="27" t="inlineStr">
        <is>
          <t>N/A (Exempt)</t>
        </is>
      </c>
      <c r="J37" s="6" t="n"/>
      <c r="K37" s="17" t="inlineStr">
        <is>
          <t>Available Per Hour</t>
        </is>
      </c>
    </row>
    <row r="38" ht="16" customHeight="1">
      <c r="A38" s="13" t="n">
        <v>6</v>
      </c>
      <c r="B38" s="14" t="inlineStr">
        <is>
          <t>Sanger Lofts</t>
        </is>
      </c>
      <c r="C38" s="14" t="inlineStr">
        <is>
          <t>222 W 4th St</t>
        </is>
      </c>
      <c r="D38" s="14" t="inlineStr">
        <is>
          <t>Polished Terrazzo</t>
        </is>
      </c>
      <c r="E38" s="15">
        <f>E23</f>
        <v/>
      </c>
      <c r="F38" s="16">
        <f>MAX(E38,600)*0.2325</f>
        <v/>
      </c>
      <c r="G38" s="29" t="n"/>
      <c r="H38" s="30" t="inlineStr">
        <is>
          <t>N/A (Excluded)</t>
        </is>
      </c>
      <c r="I38" s="31">
        <f>MAX(E38,600)*1.9875</f>
        <v/>
      </c>
      <c r="J38" s="4" t="n"/>
      <c r="K38" s="13" t="inlineStr">
        <is>
          <t>Available Per Hour</t>
        </is>
      </c>
    </row>
    <row r="39" ht="16" customHeight="1">
      <c r="A39" s="17" t="n">
        <v>7</v>
      </c>
      <c r="B39" s="5" t="inlineStr">
        <is>
          <t>Petroleum Building</t>
        </is>
      </c>
      <c r="C39" s="5" t="inlineStr">
        <is>
          <t>210 W 6th St</t>
        </is>
      </c>
      <c r="D39" s="5" t="inlineStr">
        <is>
          <t>Polished Marble Tile</t>
        </is>
      </c>
      <c r="E39" s="18">
        <f>E24</f>
        <v/>
      </c>
      <c r="F39" s="19">
        <f>MAX(E39,600)*0.2325</f>
        <v/>
      </c>
      <c r="G39" s="26" t="n"/>
      <c r="H39" s="27" t="inlineStr">
        <is>
          <t>N/A (Excluded)</t>
        </is>
      </c>
      <c r="I39" s="28">
        <f>MAX(E39,600)*1.9875</f>
        <v/>
      </c>
      <c r="J39" s="6" t="n"/>
      <c r="K39" s="17" t="inlineStr">
        <is>
          <t>Available Per Hour</t>
        </is>
      </c>
    </row>
    <row r="40" ht="16" customHeight="1">
      <c r="A40" s="13" t="n">
        <v>8</v>
      </c>
      <c r="B40" s="14" t="inlineStr">
        <is>
          <t>The Commerce Building</t>
        </is>
      </c>
      <c r="C40" s="14" t="inlineStr">
        <is>
          <t>420 Commerce St</t>
        </is>
      </c>
      <c r="D40" s="14" t="inlineStr">
        <is>
          <t>Terrazzo Tile</t>
        </is>
      </c>
      <c r="E40" s="15">
        <f>E25</f>
        <v/>
      </c>
      <c r="F40" s="16">
        <f>MAX(E40,600)*0.2325</f>
        <v/>
      </c>
      <c r="G40" s="29" t="n"/>
      <c r="H40" s="30" t="inlineStr">
        <is>
          <t>N/A (Excluded)</t>
        </is>
      </c>
      <c r="I40" s="31">
        <f>MAX(E40,600)*1.9875</f>
        <v/>
      </c>
      <c r="J40" s="4" t="n"/>
      <c r="K40" s="13" t="inlineStr">
        <is>
          <t>Available Per Hour</t>
        </is>
      </c>
    </row>
    <row r="41" ht="16" customHeight="1">
      <c r="A41" s="17" t="n">
        <v>9</v>
      </c>
      <c r="B41" s="5" t="inlineStr">
        <is>
          <t>Virtuoso Building</t>
        </is>
      </c>
      <c r="C41" s="5" t="inlineStr">
        <is>
          <t>505 Main St</t>
        </is>
      </c>
      <c r="D41" s="5" t="inlineStr">
        <is>
          <t>Polished Marble Tile</t>
        </is>
      </c>
      <c r="E41" s="18">
        <f>E26</f>
        <v/>
      </c>
      <c r="F41" s="19">
        <f>MAX(E41,600)*0.2325</f>
        <v/>
      </c>
      <c r="G41" s="26" t="n"/>
      <c r="H41" s="27" t="inlineStr">
        <is>
          <t>N/A (Excluded)</t>
        </is>
      </c>
      <c r="I41" s="28">
        <f>MAX(E41,600)*1.9875</f>
        <v/>
      </c>
      <c r="J41" s="6" t="n"/>
      <c r="K41" s="17" t="inlineStr">
        <is>
          <t>Available Per Hour</t>
        </is>
      </c>
    </row>
    <row r="42" ht="16" customHeight="1">
      <c r="A42" s="13" t="n">
        <v>10</v>
      </c>
      <c r="B42" s="14" t="inlineStr">
        <is>
          <t>Knights of Pythias Hall</t>
        </is>
      </c>
      <c r="C42" s="14" t="inlineStr">
        <is>
          <t>109-110 E 3rd St</t>
        </is>
      </c>
      <c r="D42" s="14" t="inlineStr">
        <is>
          <t>Ceramic Mosaic Tile</t>
        </is>
      </c>
      <c r="E42" s="15">
        <f>E27</f>
        <v/>
      </c>
      <c r="F42" s="16">
        <f>MAX(E42,600)*0.2325</f>
        <v/>
      </c>
      <c r="G42" s="29" t="n"/>
      <c r="H42" s="30" t="inlineStr">
        <is>
          <t>N/A (Excluded)</t>
        </is>
      </c>
      <c r="I42" s="30" t="inlineStr">
        <is>
          <t>N/A (Exempt)</t>
        </is>
      </c>
      <c r="J42" s="4" t="n"/>
      <c r="K42" s="13" t="inlineStr">
        <is>
          <t>Available Per Hour</t>
        </is>
      </c>
    </row>
    <row r="43" ht="16" customHeight="1">
      <c r="A43" s="17" t="n">
        <v>11</v>
      </c>
      <c r="B43" s="5" t="inlineStr">
        <is>
          <t>Plaza Hotel Building</t>
        </is>
      </c>
      <c r="C43" s="5" t="inlineStr">
        <is>
          <t>303 Main St</t>
        </is>
      </c>
      <c r="D43" s="5" t="inlineStr">
        <is>
          <t>Commercial Quarry Tile</t>
        </is>
      </c>
      <c r="E43" s="18">
        <f>E28</f>
        <v/>
      </c>
      <c r="F43" s="19">
        <f>MAX(E43,600)*0.2325</f>
        <v/>
      </c>
      <c r="G43" s="26" t="n"/>
      <c r="H43" s="27" t="inlineStr">
        <is>
          <t>N/A (Excluded)</t>
        </is>
      </c>
      <c r="I43" s="27" t="inlineStr">
        <is>
          <t>N/A (Exempt)</t>
        </is>
      </c>
      <c r="J43" s="6" t="n"/>
      <c r="K43" s="17" t="inlineStr">
        <is>
          <t>Available Per Hour</t>
        </is>
      </c>
    </row>
    <row r="44" ht="20" customHeight="1">
      <c r="A44" s="20" t="inlineStr">
        <is>
          <t>GRAND TOTAL SQUARE FOOTAGE (Additional Options)</t>
        </is>
      </c>
      <c r="B44" s="21" t="n"/>
      <c r="C44" s="21" t="n"/>
      <c r="D44" s="21" t="n"/>
      <c r="E44" s="22">
        <f>SUM(E33:E43)</f>
        <v/>
      </c>
      <c r="F44" s="23">
        <f>SUM(F33:F43)</f>
        <v/>
      </c>
      <c r="G44" s="21" t="n"/>
      <c r="H44" s="20" t="inlineStr">
        <is>
          <t>Unit Rate Only</t>
        </is>
      </c>
      <c r="I44" s="23">
        <f>SUM(I33:I43)</f>
        <v/>
      </c>
      <c r="J44" s="21" t="n"/>
      <c r="K44" s="20" t="inlineStr">
        <is>
          <t>Available Per Hour</t>
        </is>
      </c>
    </row>
    <row r="45" ht="6" customHeight="1"/>
    <row r="46" ht="20" customHeight="1">
      <c r="A46" s="11" t="inlineStr">
        <is>
          <t>3.0 COMMERCIAL PROGRAM EXECUTIVE SUMMARY &amp; BILLING TERMS</t>
        </is>
      </c>
    </row>
    <row r="47" ht="18" customHeight="1">
      <c r="A47" s="33" t="inlineStr">
        <is>
          <t>Service Phase / Scope Module</t>
        </is>
      </c>
      <c r="B47" s="25" t="n"/>
      <c r="C47" s="33" t="inlineStr">
        <is>
          <t>Scope of work</t>
        </is>
      </c>
      <c r="D47" s="25" t="n"/>
      <c r="E47" s="25" t="n"/>
      <c r="F47" s="25" t="n"/>
      <c r="G47" s="33" t="inlineStr">
        <is>
          <t>Rate Basis</t>
        </is>
      </c>
      <c r="H47" s="33" t="inlineStr">
        <is>
          <t>Portfolio Invoiced Investment</t>
        </is>
      </c>
      <c r="I47" s="25" t="n"/>
      <c r="J47" s="33" t="inlineStr">
        <is>
          <t>Billing Frequency &amp; Program Terms</t>
        </is>
      </c>
      <c r="K47" s="25" t="n"/>
    </row>
    <row r="48" ht="50" customHeight="1">
      <c r="A48" s="34" t="inlineStr">
        <is>
          <t>Phase 1 deep clean (expose damage to consider options)</t>
        </is>
      </c>
      <c r="B48" s="35" t="n"/>
      <c r="C48" s="36" t="inlineStr">
        <is>
          <t>Rotary machine scrub, deep cleaning solution, edge hand scraping, and extraction across 11 lobbies (600 SF min baseline). Strips surface dirt down to bare floor to expose existing damage for mutual review; does not grind stone or remove scratches. Reflects 25% direct portfolio discount (20¢/SF discount off $0.80 regular rate).</t>
        </is>
      </c>
      <c r="D48" s="35" t="n"/>
      <c r="E48" s="35" t="n"/>
      <c r="F48" s="35" t="n"/>
      <c r="G48" s="37" t="inlineStr">
        <is>
          <t>$0.60 / SF</t>
        </is>
      </c>
      <c r="H48" s="38" t="inlineStr">
        <is>
          <t>$6,980.40 complete</t>
        </is>
      </c>
      <c r="I48" s="35" t="n"/>
      <c r="J48" s="39" t="inlineStr">
        <is>
          <t>One-Time Baseline Service</t>
        </is>
      </c>
      <c r="K48" s="35" t="n"/>
    </row>
    <row r="49" ht="50" customHeight="1">
      <c r="A49" s="40" t="inlineStr">
        <is>
          <t>Phase 2: Modular Sub-Surface Sealer (STONETECH® BulletProof®)</t>
        </is>
      </c>
      <c r="B49" s="6" t="n"/>
      <c r="C49" s="41" t="inlineStr">
        <is>
          <t>Deep penetrating sealer applied after cleaning into stone and grout lines (600 SF baseline). Repels water and oil spills; does not create a wax film or shine, and does not stop acid etch marks on polished marble. Reflects 25% direct portfolio discount (7.75¢/SF discount off $0.31 regular rate).</t>
        </is>
      </c>
      <c r="D49" s="6" t="n"/>
      <c r="E49" s="6" t="n"/>
      <c r="F49" s="6" t="n"/>
      <c r="G49" s="42" t="inlineStr">
        <is>
          <t>$0.2325 / SF</t>
        </is>
      </c>
      <c r="H49" s="43" t="inlineStr">
        <is>
          <t>$2,704.90 complete</t>
        </is>
      </c>
      <c r="I49" s="6" t="n"/>
      <c r="J49" s="44" t="inlineStr">
        <is>
          <t>Post-Clean Protection
(12–24 Month Lifecycle)</t>
        </is>
      </c>
      <c r="K49" s="6" t="n"/>
    </row>
    <row r="50" ht="50" customHeight="1">
      <c r="A50" s="45" t="inlineStr">
        <is>
          <t>Phase 3 (Track A): Quarterly Maintenance (Recommended Program)</t>
        </is>
      </c>
      <c r="B50" s="4" t="n"/>
      <c r="C50" s="46" t="inlineStr">
        <is>
          <t>Recurring 90-day maintenance scrub across 8 Terrazzo/Marble lobbies; deep brush scrub and grout extraction across 3 Mosaic/Quarry lobbies (600 SF min). Routine cleaning only; does not include diamond grinding. Reflects 25% direct portfolio discount (13.5¢/SF discount off $0.54 regular rate).</t>
        </is>
      </c>
      <c r="D50" s="4" t="n"/>
      <c r="E50" s="4" t="n"/>
      <c r="F50" s="4" t="n"/>
      <c r="G50" s="47" t="inlineStr">
        <is>
          <t>$0.405 / SF</t>
        </is>
      </c>
      <c r="H50" s="48" t="inlineStr">
        <is>
          <t>$4,711.77 / pass</t>
        </is>
      </c>
      <c r="I50" s="4" t="n"/>
      <c r="J50" s="49" t="inlineStr">
        <is>
          <t>Every 3 Months
(4x / Year • Recommended)</t>
        </is>
      </c>
      <c r="K50" s="4" t="n"/>
    </row>
    <row r="51" ht="50" customHeight="1">
      <c r="A51" s="40" t="inlineStr">
        <is>
          <t>Phase 3 (Track B): Every Six Months Deep Restorative Scrub</t>
        </is>
      </c>
      <c r="B51" s="6" t="n"/>
      <c r="C51" s="41" t="inlineStr">
        <is>
          <t>Intensive 180-day deep scrub, heavy cleaner dwell time, and machine extraction across 11 lobbies (600 SF min baseline). Removes 6 months of ground-in traffic dirt; does not include diamond grinding. Reflects 25% direct portfolio discount (17¢/SF discount off $0.68 regular rate).</t>
        </is>
      </c>
      <c r="D51" s="6" t="n"/>
      <c r="E51" s="6" t="n"/>
      <c r="F51" s="6" t="n"/>
      <c r="G51" s="42" t="inlineStr">
        <is>
          <t>$0.51 / SF</t>
        </is>
      </c>
      <c r="H51" s="43" t="inlineStr">
        <is>
          <t>$5,933.34 / pass</t>
        </is>
      </c>
      <c r="I51" s="6" t="n"/>
      <c r="J51" s="44" t="inlineStr">
        <is>
          <t>Every 6 Months
(2x / Year Semi-Annual)</t>
        </is>
      </c>
      <c r="K51" s="6" t="n"/>
    </row>
    <row r="52" ht="50" customHeight="1">
      <c r="A52" s="45" t="inlineStr">
        <is>
          <t>Add-On Option B: Dedicated Marble Staircase Care (500 Main St Only)</t>
        </is>
      </c>
      <c r="B52" s="4" t="n"/>
      <c r="C52" s="46" t="inlineStr">
        <is>
          <t>Step machine scrub ($3.00/step), riser wipe-down, brass nosing polish, landing deep clean ($21.00/landing), and sealer at 500 Main St only. Billed strictly by actual step count on site; excludes repairs and other 10 buildings.</t>
        </is>
      </c>
      <c r="D52" s="4" t="n"/>
      <c r="E52" s="4" t="n"/>
      <c r="F52" s="4" t="n"/>
      <c r="G52" s="47" t="inlineStr">
        <is>
          <t>$3/Stp + $21/Lnd</t>
        </is>
      </c>
      <c r="H52" s="48" t="inlineStr">
        <is>
          <t>Unit Rate Only
(T&amp;M Count)</t>
        </is>
      </c>
      <c r="I52" s="4" t="n"/>
      <c r="J52" s="49" t="inlineStr">
        <is>
          <t>Optional Per Service Pass
(500 Main St Only)</t>
        </is>
      </c>
      <c r="K52" s="4" t="n"/>
    </row>
    <row r="53" ht="50" customHeight="1">
      <c r="A53" s="40" t="inlineStr">
        <is>
          <t>Add-On Option C: Capital Diamond Restoration</t>
        </is>
      </c>
      <c r="B53" s="6" t="n"/>
      <c r="C53" s="41" t="inlineStr">
        <is>
          <t>Multi-step diamond grinding and polishing with wall protection across 8 stone lobbies (9,326 Billing SF). The only service that cuts out deep scratches and restores a high-gloss shine; ceramic and quarry tile are exempt. Reflects 25% direct portfolio discount (66.25¢/SF discount off $2.65 regular rate).</t>
        </is>
      </c>
      <c r="D53" s="6" t="n"/>
      <c r="E53" s="6" t="n"/>
      <c r="F53" s="6" t="n"/>
      <c r="G53" s="42" t="inlineStr">
        <is>
          <t>$1.9875 / SF</t>
        </is>
      </c>
      <c r="H53" s="43" t="inlineStr">
        <is>
          <t>$18,535.43 complete</t>
        </is>
      </c>
      <c r="I53" s="6" t="n"/>
      <c r="J53" s="44" t="inlineStr">
        <is>
          <t>As-Needed Capital Project
(8 Stone Lobbies)</t>
        </is>
      </c>
      <c r="K53" s="6" t="n"/>
    </row>
    <row r="54" ht="50" customHeight="1">
      <c r="A54" s="45" t="inlineStr">
        <is>
          <t>Add-On Option D: Furniture &amp; Artwork Handling</t>
        </is>
      </c>
      <c r="B54" s="4" t="n"/>
      <c r="C54" s="46" t="inlineStr">
        <is>
          <t>Building staff clears and replaces lobby furniture before and after service. Crew moving assistance is available upon written request on an hourly basis; HWB is not responsible for unmoved furniture.</t>
        </is>
      </c>
      <c r="D54" s="4" t="n"/>
      <c r="E54" s="4" t="n"/>
      <c r="F54" s="4" t="n"/>
      <c r="G54" s="47" t="inlineStr">
        <is>
          <t>Available Per Hour</t>
        </is>
      </c>
      <c r="H54" s="50" t="inlineStr">
        <is>
          <t>Hourly T&amp;M
(Upon Request)</t>
        </is>
      </c>
      <c r="I54" s="4" t="n"/>
      <c r="J54" s="49" t="inlineStr">
        <is>
          <t>Client-Managed Default
(Hourly Moving Option)</t>
        </is>
      </c>
      <c r="K54" s="4" t="n"/>
    </row>
    <row r="55" ht="20" customHeight="1">
      <c r="A55" s="51" t="inlineStr">
        <is>
          <t>📊 5.0 OPERATIONAL DISPATCH SCHEDULE: SEE SHEET 2 'Service_Gantt_Schedule' FOR MASTER 35-DAY TIMELINE &amp; SHIFT ALLOCATION</t>
        </is>
      </c>
      <c r="B55" s="6" t="n"/>
      <c r="C55" s="6" t="n"/>
      <c r="D55" s="6" t="n"/>
      <c r="E55" s="6" t="n"/>
      <c r="F55" s="6" t="n"/>
      <c r="G55" s="6" t="n"/>
      <c r="H55" s="6" t="n"/>
      <c r="I55" s="6" t="n"/>
      <c r="J55" s="6" t="n"/>
      <c r="K55" s="6" t="n"/>
    </row>
    <row r="56" ht="6" customHeight="1"/>
    <row r="57" ht="20" customHeight="1">
      <c r="A57" s="11" t="inlineStr">
        <is>
          <t>4.0 LOBBY FLOOR CONDITION: 4-POINT PHOTO INSPECTION</t>
        </is>
      </c>
    </row>
    <row r="58" ht="14" customHeight="1">
      <c r="A58" s="52" t="inlineStr">
        <is>
          <t>Photographic documentation of floor conditions, wear patterns, and recommended services across portfolio lobbies.</t>
        </is>
      </c>
    </row>
    <row r="59" ht="18" customHeight="1">
      <c r="A59" s="33" t="inlineStr">
        <is>
          <t>PHOTO 1: PLAZA HOTEL BUILDING (303 MAIN ST)</t>
        </is>
      </c>
      <c r="B59" s="25" t="n"/>
      <c r="C59" s="25" t="n"/>
      <c r="D59" s="25" t="n"/>
      <c r="E59" s="25" t="n"/>
      <c r="F59" t="inlineStr"/>
      <c r="G59" s="33" t="inlineStr">
        <is>
          <t>PHOTO 2: CHASE BANK BUILDING (420 THROCKMORTON ST)</t>
        </is>
      </c>
      <c r="H59" s="25" t="n"/>
      <c r="I59" s="25" t="n"/>
      <c r="J59" s="25" t="n"/>
      <c r="K59" s="25" t="n"/>
    </row>
    <row r="60" ht="150" customHeight="1">
      <c r="A60" s="25" t="n"/>
      <c r="B60" s="25" t="n"/>
      <c r="C60" s="25" t="n"/>
      <c r="D60" s="25" t="n"/>
      <c r="E60" s="25" t="n"/>
      <c r="G60" s="25" t="n"/>
      <c r="H60" s="25" t="n"/>
      <c r="I60" s="25" t="n"/>
      <c r="J60" s="25" t="n"/>
      <c r="K60" s="25" t="n"/>
    </row>
    <row r="61" ht="16" customHeight="1">
      <c r="A61" s="53" t="inlineStr">
        <is>
          <t>Primary floor system: Commercial Quarry Tile</t>
        </is>
      </c>
      <c r="B61" s="4" t="n"/>
      <c r="C61" s="4" t="n"/>
      <c r="D61" s="4" t="n"/>
      <c r="E61" s="4" t="n"/>
      <c r="G61" s="53" t="inlineStr">
        <is>
          <t>Primary floor system: Polished Terrazzo</t>
        </is>
      </c>
      <c r="H61" s="4" t="n"/>
      <c r="I61" s="4" t="n"/>
      <c r="J61" s="4" t="n"/>
      <c r="K61" s="4" t="n"/>
    </row>
    <row r="62" ht="16" customHeight="1">
      <c r="A62" s="54" t="inlineStr">
        <is>
          <t>Floor Issue: Chemical Bleach Stains &amp; Deep Grout Soil Buildup</t>
        </is>
      </c>
      <c r="B62" s="6" t="n"/>
      <c r="C62" s="6" t="n"/>
      <c r="D62" s="6" t="n"/>
      <c r="E62" s="6" t="n"/>
      <c r="G62" s="54" t="inlineStr">
        <is>
          <t>Floor Issue: Heavy Traffic Wear Pattern &amp; Loss of Floor Shine</t>
        </is>
      </c>
      <c r="H62" s="6" t="n"/>
      <c r="I62" s="6" t="n"/>
      <c r="J62" s="6" t="n"/>
      <c r="K62" s="6" t="n"/>
    </row>
    <row r="63" ht="32" customHeight="1">
      <c r="A63" s="41" t="inlineStr">
        <is>
          <t>Condition Observed: Harsh cleaner or bleach stripped the tile finish (white patch); grease soaked into unsealed tile; heavy dirt along grout lines.</t>
        </is>
      </c>
      <c r="B63" s="6" t="n"/>
      <c r="C63" s="6" t="n"/>
      <c r="D63" s="6" t="n"/>
      <c r="E63" s="6" t="n"/>
      <c r="G63" s="41" t="inlineStr">
        <is>
          <t>Condition Observed: Heavy foot traffic wore away surface shine along center walkway; fine scratches now trap dirt and leave floors looking dull.</t>
        </is>
      </c>
      <c r="H63" s="6" t="n"/>
      <c r="I63" s="6" t="n"/>
      <c r="J63" s="6" t="n"/>
      <c r="K63" s="6" t="n"/>
    </row>
    <row r="64" ht="30" customHeight="1">
      <c r="A64" s="34" t="inlineStr">
        <is>
          <t>Recommended Service: Deep machine scrub to lift embedded soil (Phase 1) + Option A: BulletProof® Sealer to protect tile and grout from stains.</t>
        </is>
      </c>
      <c r="B64" s="35" t="n"/>
      <c r="C64" s="35" t="n"/>
      <c r="D64" s="35" t="n"/>
      <c r="E64" s="35" t="n"/>
      <c r="G64" s="34" t="inlineStr">
        <is>
          <t>Recommended Service: Regular quarterly machine scrub ($0.405/SF) to remove gritty soil and keep floors clean; deep gouges require Option C: Diamond Restoration.</t>
        </is>
      </c>
      <c r="H64" s="35" t="n"/>
      <c r="I64" s="35" t="n"/>
      <c r="J64" s="35" t="n"/>
      <c r="K64" s="35" t="n"/>
    </row>
    <row r="65" ht="6" customHeight="1"/>
    <row r="66" ht="18" customHeight="1">
      <c r="A66" s="33" t="inlineStr">
        <is>
          <t>PHOTO 3: PETROLEUM BUILDING (210 W 6TH ST)</t>
        </is>
      </c>
      <c r="B66" s="25" t="n"/>
      <c r="C66" s="25" t="n"/>
      <c r="D66" s="25" t="n"/>
      <c r="E66" s="25" t="n"/>
      <c r="G66" s="33" t="inlineStr">
        <is>
          <t>PHOTO 4: VIRTUOSO BUILDING (505 MAIN ST / SCHWARZ BLDG)</t>
        </is>
      </c>
      <c r="H66" s="25" t="n"/>
      <c r="I66" s="25" t="n"/>
      <c r="J66" s="25" t="n"/>
      <c r="K66" s="25" t="n"/>
    </row>
    <row r="67" ht="150" customHeight="1">
      <c r="A67" s="25" t="n"/>
      <c r="B67" s="25" t="n"/>
      <c r="C67" s="25" t="n"/>
      <c r="D67" s="25" t="n"/>
      <c r="E67" s="25" t="n"/>
      <c r="G67" s="25" t="n"/>
      <c r="H67" s="25" t="n"/>
      <c r="I67" s="25" t="n"/>
      <c r="J67" s="25" t="n"/>
      <c r="K67" s="25" t="n"/>
    </row>
    <row r="68" ht="16" customHeight="1">
      <c r="A68" s="53" t="inlineStr">
        <is>
          <t>Primary floor system: Polished Marble Tile</t>
        </is>
      </c>
      <c r="B68" s="4" t="n"/>
      <c r="C68" s="4" t="n"/>
      <c r="D68" s="4" t="n"/>
      <c r="E68" s="4" t="n"/>
      <c r="G68" s="53" t="inlineStr">
        <is>
          <t>Primary floor system: Polished Marble Tile</t>
        </is>
      </c>
      <c r="H68" s="4" t="n"/>
      <c r="I68" s="4" t="n"/>
      <c r="J68" s="4" t="n"/>
      <c r="K68" s="4" t="n"/>
    </row>
    <row r="69" ht="16" customHeight="1">
      <c r="A69" s="54" t="inlineStr">
        <is>
          <t>Floor Issue: Acid Stain Marks &amp; Chemical Etch Rings</t>
        </is>
      </c>
      <c r="B69" s="6" t="n"/>
      <c r="C69" s="6" t="n"/>
      <c r="D69" s="6" t="n"/>
      <c r="E69" s="6" t="n"/>
      <c r="G69" s="54" t="inlineStr">
        <is>
          <t>Floor Issue: Deep Gouges &amp; Scratches from Moving Equipment</t>
        </is>
      </c>
      <c r="H69" s="6" t="n"/>
      <c r="I69" s="6" t="n"/>
      <c r="J69" s="6" t="n"/>
      <c r="K69" s="6" t="n"/>
    </row>
    <row r="70" ht="32" customHeight="1">
      <c r="A70" s="41" t="inlineStr">
        <is>
          <t>Condition Observed: Acidic spills (coffee, citrus drinks, sanitizer drips) ate into polished marble, leaving dull, rough white spots that mopping cannot clean.</t>
        </is>
      </c>
      <c r="B70" s="6" t="n"/>
      <c r="C70" s="6" t="n"/>
      <c r="D70" s="6" t="n"/>
      <c r="E70" s="6" t="n"/>
      <c r="G70" s="41" t="inlineStr">
        <is>
          <t>Condition Observed: Heavy equipment, freight carts, or unpadded furniture dragged across floor cut deep white scratches into the black marble.</t>
        </is>
      </c>
      <c r="H70" s="6" t="n"/>
      <c r="I70" s="6" t="n"/>
      <c r="J70" s="6" t="n"/>
      <c r="K70" s="6" t="n"/>
    </row>
    <row r="71" ht="30" customHeight="1">
      <c r="A71" s="34" t="inlineStr">
        <is>
          <t>Recommended Service: Diamond polishing to smooth out etch marks and restore shine + Option A: BulletProof® Sealer to protect against stains.</t>
        </is>
      </c>
      <c r="B71" s="35" t="n"/>
      <c r="C71" s="35" t="n"/>
      <c r="D71" s="35" t="n"/>
      <c r="E71" s="35" t="n"/>
      <c r="G71" s="34" t="inlineStr">
        <is>
          <t>Recommended Service: Option C: Diamond Restoration ($1.9875/SF) to grind out deep scratch valleys and polish back to a high-gloss finish.</t>
        </is>
      </c>
      <c r="H71" s="35" t="n"/>
      <c r="I71" s="35" t="n"/>
      <c r="J71" s="35" t="n"/>
      <c r="K71" s="35" t="n"/>
    </row>
  </sheetData>
  <mergeCells count="115">
    <mergeCell ref="C52:F52"/>
    <mergeCell ref="H53:I53"/>
    <mergeCell ref="A58:K58"/>
    <mergeCell ref="G59:K59"/>
    <mergeCell ref="A51:B51"/>
    <mergeCell ref="A29:D29"/>
    <mergeCell ref="G67:K67"/>
    <mergeCell ref="G61:K61"/>
    <mergeCell ref="G70:K70"/>
    <mergeCell ref="A44:D44"/>
    <mergeCell ref="A54:B54"/>
    <mergeCell ref="A7:B7"/>
    <mergeCell ref="J53:K53"/>
    <mergeCell ref="C6:F6"/>
    <mergeCell ref="A16:K16"/>
    <mergeCell ref="G62:K62"/>
    <mergeCell ref="H52:I52"/>
    <mergeCell ref="I42:J42"/>
    <mergeCell ref="A71:E71"/>
    <mergeCell ref="A2:K2"/>
    <mergeCell ref="C54:F54"/>
    <mergeCell ref="C50:F50"/>
    <mergeCell ref="A53:B53"/>
    <mergeCell ref="F43:G43"/>
    <mergeCell ref="I44:J44"/>
    <mergeCell ref="G63:K63"/>
    <mergeCell ref="A63:E63"/>
    <mergeCell ref="G60:K60"/>
    <mergeCell ref="A48:B48"/>
    <mergeCell ref="H54:I54"/>
    <mergeCell ref="F34:G34"/>
    <mergeCell ref="A11:K11"/>
    <mergeCell ref="H50:I50"/>
    <mergeCell ref="A69:E69"/>
    <mergeCell ref="G7:H7"/>
    <mergeCell ref="I32:J32"/>
    <mergeCell ref="I41:J41"/>
    <mergeCell ref="F33:G33"/>
    <mergeCell ref="H49:I49"/>
    <mergeCell ref="J49:K49"/>
    <mergeCell ref="F42:G42"/>
    <mergeCell ref="A46:K46"/>
    <mergeCell ref="I4:K4"/>
    <mergeCell ref="C5:F5"/>
    <mergeCell ref="G69:K69"/>
    <mergeCell ref="I43:J43"/>
    <mergeCell ref="C4:F4"/>
    <mergeCell ref="I33:J33"/>
    <mergeCell ref="A8:K8"/>
    <mergeCell ref="G64:K64"/>
    <mergeCell ref="F39:G39"/>
    <mergeCell ref="I35:J35"/>
    <mergeCell ref="A52:B52"/>
    <mergeCell ref="H48:I48"/>
    <mergeCell ref="J51:K51"/>
    <mergeCell ref="A10:K10"/>
    <mergeCell ref="J48:K48"/>
    <mergeCell ref="A67:E67"/>
    <mergeCell ref="A49:B49"/>
    <mergeCell ref="A60:E60"/>
    <mergeCell ref="G47"/>
    <mergeCell ref="A1:K1"/>
    <mergeCell ref="C53:F53"/>
    <mergeCell ref="I5:K5"/>
    <mergeCell ref="G66:K66"/>
    <mergeCell ref="F36:G36"/>
    <mergeCell ref="I37:J37"/>
    <mergeCell ref="A66:E66"/>
    <mergeCell ref="A12:K12"/>
    <mergeCell ref="G68:K68"/>
    <mergeCell ref="A57:K57"/>
    <mergeCell ref="A5:B5"/>
    <mergeCell ref="A14:K14"/>
    <mergeCell ref="C47:F47"/>
    <mergeCell ref="A4:B4"/>
    <mergeCell ref="J50:K50"/>
    <mergeCell ref="C51:F51"/>
    <mergeCell ref="J52:K52"/>
    <mergeCell ref="I7:K7"/>
    <mergeCell ref="I34:J34"/>
    <mergeCell ref="C48:F48"/>
    <mergeCell ref="A59:E59"/>
    <mergeCell ref="A64:E64"/>
    <mergeCell ref="C7:F7"/>
    <mergeCell ref="G71:K71"/>
    <mergeCell ref="I36:J36"/>
    <mergeCell ref="A61:E61"/>
    <mergeCell ref="F40:G40"/>
    <mergeCell ref="A6:B6"/>
    <mergeCell ref="A70:E70"/>
    <mergeCell ref="C49:F49"/>
    <mergeCell ref="H51:I51"/>
    <mergeCell ref="G6:H6"/>
    <mergeCell ref="F32:G32"/>
    <mergeCell ref="F41:G41"/>
    <mergeCell ref="F35:G35"/>
    <mergeCell ref="A50:B50"/>
    <mergeCell ref="F38:G38"/>
    <mergeCell ref="A55:K55"/>
    <mergeCell ref="J54:K54"/>
    <mergeCell ref="A47:B47"/>
    <mergeCell ref="G5:H5"/>
    <mergeCell ref="I39:J39"/>
    <mergeCell ref="H47:I47"/>
    <mergeCell ref="J47:K47"/>
    <mergeCell ref="I6:K6"/>
    <mergeCell ref="G4:H4"/>
    <mergeCell ref="F37:G37"/>
    <mergeCell ref="A62:E62"/>
    <mergeCell ref="I38:J38"/>
    <mergeCell ref="A68:E68"/>
    <mergeCell ref="A13:K13"/>
    <mergeCell ref="I40:J40"/>
    <mergeCell ref="F44:G44"/>
    <mergeCell ref="A31:K31"/>
  </mergeCells>
  <pageMargins left="0.35" right="0.35" top="0.35" bottom="0.35" header="0.5" footer="0.5"/>
  <pageSetup orientation="landscape" paperSize="1" fitToHeight="0" fitToWidth="1"/>
  <headerFooter>
    <oddHeader>&amp;C&amp;"Calibri,Bold"&amp;10 &amp;B&amp;10HWB CLEANING SERVICES LLC</oddHeader>
    <oddFooter>&amp;RPage &amp;P of &amp;N</oddFooter>
    <evenHeader>&amp;C&amp;B&amp;10HWB CLEANING SERVICES LLC</evenHeader>
    <evenFooter>&amp;RPage &amp;P of &amp;N</evenFooter>
    <firstHeader/>
    <firstFooter/>
  </headerFooter>
  <rowBreaks count="2" manualBreakCount="2">
    <brk id="29" min="0" max="16383" man="1"/>
    <brk id="55" min="0" max="16383" man="1"/>
  </rowBreaks>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1"/>
  </sheetPr>
  <dimension ref="A1:AN21"/>
  <sheetViews>
    <sheetView showGridLines="1" workbookViewId="0">
      <selection activeCell="A1" sqref="A1"/>
    </sheetView>
  </sheetViews>
  <sheetFormatPr baseColWidth="8" defaultRowHeight="15" outlineLevelCol="0"/>
  <cols>
    <col width="6" customWidth="1" min="1" max="1"/>
    <col width="26" customWidth="1" min="2" max="2"/>
    <col width="14" customWidth="1" min="3" max="3"/>
    <col width="24" customWidth="1" min="4" max="4"/>
    <col width="15" customWidth="1" min="5" max="5"/>
    <col width="4.5" customWidth="1" min="6" max="6"/>
    <col width="4.5" customWidth="1" min="7" max="7"/>
    <col width="4.5" customWidth="1" min="8" max="8"/>
    <col width="4.5" customWidth="1" min="9" max="9"/>
    <col width="4.5" customWidth="1" min="10" max="10"/>
    <col width="4.5" customWidth="1" min="11" max="11"/>
    <col width="4.5" customWidth="1" min="12" max="12"/>
    <col width="4.5" customWidth="1" min="13" max="13"/>
    <col width="4.5" customWidth="1" min="14" max="14"/>
    <col width="4.5" customWidth="1" min="15" max="15"/>
    <col width="4.5" customWidth="1" min="16" max="16"/>
    <col width="4.5" customWidth="1" min="17" max="17"/>
    <col width="4.5" customWidth="1" min="18" max="18"/>
    <col width="4.5" customWidth="1" min="19" max="19"/>
    <col width="4.5" customWidth="1" min="20" max="20"/>
    <col width="4.5" customWidth="1" min="21" max="21"/>
    <col width="4.5" customWidth="1" min="22" max="22"/>
    <col width="4.5" customWidth="1" min="23" max="23"/>
    <col width="4.5" customWidth="1" min="24" max="24"/>
    <col width="4.5" customWidth="1" min="25" max="25"/>
    <col width="4.5" customWidth="1" min="26" max="26"/>
    <col width="4.5" customWidth="1" min="27" max="27"/>
    <col width="4.5" customWidth="1" min="28" max="28"/>
    <col width="4.5" customWidth="1" min="29" max="29"/>
    <col width="4.5" customWidth="1" min="30" max="30"/>
    <col width="4.5" customWidth="1" min="31" max="31"/>
    <col width="4.5" customWidth="1" min="32" max="32"/>
    <col width="4.5" customWidth="1" min="33" max="33"/>
    <col width="4.5" customWidth="1" min="34" max="34"/>
    <col width="4.5" customWidth="1" min="35" max="35"/>
    <col width="4.5" customWidth="1" min="36" max="36"/>
    <col width="4.5" customWidth="1" min="37" max="37"/>
    <col width="4.5" customWidth="1" min="38" max="38"/>
    <col width="4.5" customWidth="1" min="39" max="39"/>
    <col width="4.5" customWidth="1" min="40" max="40"/>
  </cols>
  <sheetData>
    <row r="1" ht="22" customHeight="1">
      <c r="A1" s="1" t="inlineStr">
        <is>
          <t>HWB CLEANING SERVICES LLC</t>
        </is>
      </c>
    </row>
    <row r="2" ht="16" customHeight="1">
      <c r="A2" s="2" t="inlineStr">
        <is>
          <t>OPERATIONAL DISPATCH GANTT SCHEDULE — BOSANNA LLC / 11-BUILDING COMMERCIAL PORTFOLIO</t>
        </is>
      </c>
    </row>
    <row r="3" ht="18" customHeight="1">
      <c r="A3" s="55" t="inlineStr">
        <is>
          <t>Dispatch Origin: Arlington, TX</t>
        </is>
      </c>
      <c r="B3" s="6" t="n"/>
      <c r="C3" s="55" t="inlineStr">
        <is>
          <t>Target Start Date: Sep 01, 2026</t>
        </is>
      </c>
      <c r="D3" s="6" t="n"/>
      <c r="E3" s="17" t="inlineStr">
        <is>
          <t>Assigned Crew: 2 Technicians</t>
        </is>
      </c>
      <c r="F3" s="6" t="n"/>
      <c r="G3" s="6" t="n"/>
      <c r="H3" s="6" t="n"/>
      <c r="I3" s="6" t="n"/>
      <c r="J3" s="17" t="inlineStr">
        <is>
          <t>Mobilization: 10 Dedicated Shifts</t>
        </is>
      </c>
      <c r="K3" s="6" t="n"/>
      <c r="L3" s="6" t="n"/>
      <c r="M3" s="6" t="n"/>
      <c r="N3" s="6" t="n"/>
      <c r="O3" s="6" t="n"/>
      <c r="P3" s="32" t="n"/>
      <c r="Q3" s="6" t="n"/>
      <c r="R3" s="6" t="inlineStr">
        <is>
          <t>⏰ 100% Flexible Shift Timing (Client Choice: Zero Tenant Disruption)</t>
        </is>
      </c>
      <c r="S3" s="6" t="n"/>
      <c r="T3" s="6" t="n"/>
      <c r="U3" s="6" t="n"/>
      <c r="V3" s="6" t="n"/>
      <c r="W3" s="6" t="n"/>
      <c r="X3" s="6" t="n"/>
      <c r="Y3" s="6" t="n"/>
      <c r="Z3" s="6" t="n"/>
      <c r="AA3" s="6" t="n"/>
      <c r="AB3" s="6" t="n"/>
      <c r="AC3" s="6" t="n"/>
      <c r="AD3" s="6" t="n"/>
      <c r="AE3" s="6" t="n"/>
      <c r="AF3" s="6" t="n"/>
      <c r="AG3" s="6" t="n"/>
      <c r="AH3" s="6" t="n"/>
      <c r="AI3" s="6" t="n"/>
      <c r="AJ3" s="6" t="n"/>
      <c r="AK3" s="6" t="n"/>
      <c r="AL3" s="6" t="n"/>
      <c r="AM3" s="6" t="n"/>
      <c r="AN3" s="6" t="n"/>
    </row>
    <row r="4" ht="18" customHeight="1">
      <c r="A4" s="56" t="inlineStr">
        <is>
          <t>LEGEND &amp; COLOR CODES:</t>
        </is>
      </c>
      <c r="B4" s="6" t="n"/>
      <c r="C4" s="6" t="n"/>
      <c r="D4" s="6" t="n"/>
      <c r="E4" s="6" t="n"/>
      <c r="F4" s="57" t="inlineStr">
        <is>
          <t>DP: Phase 1 Deep Clean</t>
        </is>
      </c>
      <c r="G4" s="58" t="n"/>
      <c r="H4" s="58" t="n"/>
      <c r="I4" s="58" t="n"/>
      <c r="J4" s="58" t="n"/>
      <c r="K4" s="58" t="n"/>
      <c r="L4" s="58" t="n"/>
      <c r="M4" s="59" t="inlineStr">
        <is>
          <t>SL: Modular Sealer</t>
        </is>
      </c>
      <c r="N4" s="60" t="n"/>
      <c r="O4" s="60" t="n"/>
      <c r="P4" s="60" t="n"/>
      <c r="Q4" s="60" t="n"/>
      <c r="R4" s="60" t="n"/>
      <c r="S4" s="60" t="n"/>
      <c r="T4" s="61" t="inlineStr">
        <is>
          <t>QT: Quarterly Care</t>
        </is>
      </c>
      <c r="U4" s="62" t="n"/>
      <c r="V4" s="62" t="n"/>
      <c r="W4" s="62" t="n"/>
      <c r="X4" s="62" t="n"/>
      <c r="Y4" s="62" t="n"/>
      <c r="Z4" s="62" t="n"/>
      <c r="AA4" s="63" t="inlineStr">
        <is>
          <t>ST: Stair Detailing</t>
        </is>
      </c>
      <c r="AB4" s="64" t="n"/>
      <c r="AC4" s="64" t="n"/>
      <c r="AD4" s="64" t="n"/>
      <c r="AE4" s="64" t="n"/>
      <c r="AF4" s="64" t="n"/>
      <c r="AG4" s="64" t="n"/>
      <c r="AH4" s="65" t="inlineStr">
        <is>
          <t>WKND: Building Offline</t>
        </is>
      </c>
      <c r="AI4" s="66" t="n"/>
      <c r="AJ4" s="66" t="n"/>
      <c r="AK4" s="66" t="n"/>
      <c r="AL4" s="66" t="n"/>
      <c r="AM4" s="66" t="n"/>
      <c r="AN4" s="66" t="n"/>
    </row>
    <row r="5" ht="18" customHeight="1">
      <c r="A5" s="24" t="inlineStr">
        <is>
          <t>Item</t>
        </is>
      </c>
      <c r="B5" s="24" t="inlineStr">
        <is>
          <t>Building Name</t>
        </is>
      </c>
      <c r="C5" s="24" t="inlineStr">
        <is>
          <t>Total SQF</t>
        </is>
      </c>
      <c r="D5" s="24" t="inlineStr">
        <is>
          <t>Shift Window</t>
        </is>
      </c>
      <c r="E5" s="24" t="inlineStr">
        <is>
          <t>Crew Hrs</t>
        </is>
      </c>
      <c r="F5" s="51" t="inlineStr">
        <is>
          <t>Week 1 (Aug 31–Sep 06)</t>
        </is>
      </c>
      <c r="G5" s="67" t="n"/>
      <c r="H5" s="67" t="n"/>
      <c r="I5" s="67" t="n"/>
      <c r="J5" s="67" t="n"/>
      <c r="K5" s="67" t="n"/>
      <c r="L5" s="67" t="n"/>
      <c r="M5" s="51" t="inlineStr">
        <is>
          <t>Week 2 (Sep 07–Sep 13)</t>
        </is>
      </c>
      <c r="N5" s="67" t="n"/>
      <c r="O5" s="67" t="n"/>
      <c r="P5" s="67" t="n"/>
      <c r="Q5" s="67" t="n"/>
      <c r="R5" s="67" t="n"/>
      <c r="S5" s="67" t="n"/>
      <c r="T5" s="51" t="inlineStr">
        <is>
          <t>Week 3 (Sep 14–Sep 20)</t>
        </is>
      </c>
      <c r="U5" s="67" t="n"/>
      <c r="V5" s="67" t="n"/>
      <c r="W5" s="67" t="n"/>
      <c r="X5" s="67" t="n"/>
      <c r="Y5" s="67" t="n"/>
      <c r="Z5" s="67" t="n"/>
      <c r="AA5" s="51" t="inlineStr">
        <is>
          <t>Week 4 (Sep 21–Sep 27)</t>
        </is>
      </c>
      <c r="AB5" s="67" t="n"/>
      <c r="AC5" s="67" t="n"/>
      <c r="AD5" s="67" t="n"/>
      <c r="AE5" s="67" t="n"/>
      <c r="AF5" s="67" t="n"/>
      <c r="AG5" s="67" t="n"/>
      <c r="AH5" s="51" t="inlineStr">
        <is>
          <t>Week 5 (Sep 28–Oct 04)</t>
        </is>
      </c>
      <c r="AI5" s="67" t="n"/>
      <c r="AJ5" s="67" t="n"/>
      <c r="AK5" s="67" t="n"/>
      <c r="AL5" s="67" t="n"/>
      <c r="AM5" s="67" t="n"/>
      <c r="AN5" s="67" t="n"/>
    </row>
    <row r="6" ht="15" customHeight="1">
      <c r="A6" s="25" t="n"/>
      <c r="B6" s="25" t="n"/>
      <c r="C6" s="25" t="n"/>
      <c r="D6" s="25" t="n"/>
      <c r="E6" s="25" t="n"/>
      <c r="F6" s="68" t="n">
        <v>31</v>
      </c>
      <c r="G6" s="68" t="n">
        <v>1</v>
      </c>
      <c r="H6" s="68" t="n">
        <v>2</v>
      </c>
      <c r="I6" s="68" t="n">
        <v>3</v>
      </c>
      <c r="J6" s="68" t="n">
        <v>4</v>
      </c>
      <c r="K6" s="68" t="n">
        <v>5</v>
      </c>
      <c r="L6" s="68" t="n">
        <v>6</v>
      </c>
      <c r="M6" s="68" t="n">
        <v>7</v>
      </c>
      <c r="N6" s="68" t="n">
        <v>8</v>
      </c>
      <c r="O6" s="68" t="n">
        <v>9</v>
      </c>
      <c r="P6" s="68" t="n">
        <v>10</v>
      </c>
      <c r="Q6" s="68" t="n">
        <v>11</v>
      </c>
      <c r="R6" s="68" t="n">
        <v>12</v>
      </c>
      <c r="S6" s="68" t="n">
        <v>13</v>
      </c>
      <c r="T6" s="68" t="n">
        <v>14</v>
      </c>
      <c r="U6" s="68" t="n">
        <v>15</v>
      </c>
      <c r="V6" s="68" t="n">
        <v>16</v>
      </c>
      <c r="W6" s="68" t="n">
        <v>17</v>
      </c>
      <c r="X6" s="68" t="n">
        <v>18</v>
      </c>
      <c r="Y6" s="68" t="n">
        <v>19</v>
      </c>
      <c r="Z6" s="68" t="n">
        <v>20</v>
      </c>
      <c r="AA6" s="68" t="n">
        <v>21</v>
      </c>
      <c r="AB6" s="68" t="n">
        <v>22</v>
      </c>
      <c r="AC6" s="68" t="n">
        <v>23</v>
      </c>
      <c r="AD6" s="68" t="n">
        <v>24</v>
      </c>
      <c r="AE6" s="68" t="n">
        <v>25</v>
      </c>
      <c r="AF6" s="68" t="n">
        <v>26</v>
      </c>
      <c r="AG6" s="68" t="n">
        <v>27</v>
      </c>
      <c r="AH6" s="68" t="n">
        <v>28</v>
      </c>
      <c r="AI6" s="68" t="n">
        <v>29</v>
      </c>
      <c r="AJ6" s="68" t="n">
        <v>30</v>
      </c>
      <c r="AK6" s="68" t="n">
        <v>1</v>
      </c>
      <c r="AL6" s="68" t="n">
        <v>2</v>
      </c>
      <c r="AM6" s="68" t="n">
        <v>3</v>
      </c>
      <c r="AN6" s="68" t="n">
        <v>4</v>
      </c>
    </row>
    <row r="7" ht="15" customHeight="1">
      <c r="A7" s="25" t="n"/>
      <c r="B7" s="25" t="n"/>
      <c r="C7" s="25" t="n"/>
      <c r="D7" s="25" t="n"/>
      <c r="E7" s="25" t="n"/>
      <c r="F7" s="69" t="inlineStr">
        <is>
          <t>Mo</t>
        </is>
      </c>
      <c r="G7" s="69" t="inlineStr">
        <is>
          <t>Tu</t>
        </is>
      </c>
      <c r="H7" s="69" t="inlineStr">
        <is>
          <t>We</t>
        </is>
      </c>
      <c r="I7" s="69" t="inlineStr">
        <is>
          <t>Th</t>
        </is>
      </c>
      <c r="J7" s="69" t="inlineStr">
        <is>
          <t>Fr</t>
        </is>
      </c>
      <c r="K7" s="70" t="inlineStr">
        <is>
          <t>Sa</t>
        </is>
      </c>
      <c r="L7" s="70" t="inlineStr">
        <is>
          <t>Su</t>
        </is>
      </c>
      <c r="M7" s="69" t="inlineStr">
        <is>
          <t>Mo</t>
        </is>
      </c>
      <c r="N7" s="69" t="inlineStr">
        <is>
          <t>Tu</t>
        </is>
      </c>
      <c r="O7" s="69" t="inlineStr">
        <is>
          <t>We</t>
        </is>
      </c>
      <c r="P7" s="69" t="inlineStr">
        <is>
          <t>Th</t>
        </is>
      </c>
      <c r="Q7" s="69" t="inlineStr">
        <is>
          <t>Fr</t>
        </is>
      </c>
      <c r="R7" s="70" t="inlineStr">
        <is>
          <t>Sa</t>
        </is>
      </c>
      <c r="S7" s="70" t="inlineStr">
        <is>
          <t>Su</t>
        </is>
      </c>
      <c r="T7" s="69" t="inlineStr">
        <is>
          <t>Mo</t>
        </is>
      </c>
      <c r="U7" s="69" t="inlineStr">
        <is>
          <t>Tu</t>
        </is>
      </c>
      <c r="V7" s="69" t="inlineStr">
        <is>
          <t>We</t>
        </is>
      </c>
      <c r="W7" s="69" t="inlineStr">
        <is>
          <t>Th</t>
        </is>
      </c>
      <c r="X7" s="69" t="inlineStr">
        <is>
          <t>Fr</t>
        </is>
      </c>
      <c r="Y7" s="70" t="inlineStr">
        <is>
          <t>Sa</t>
        </is>
      </c>
      <c r="Z7" s="70" t="inlineStr">
        <is>
          <t>Su</t>
        </is>
      </c>
      <c r="AA7" s="69" t="inlineStr">
        <is>
          <t>Mo</t>
        </is>
      </c>
      <c r="AB7" s="69" t="inlineStr">
        <is>
          <t>Tu</t>
        </is>
      </c>
      <c r="AC7" s="69" t="inlineStr">
        <is>
          <t>We</t>
        </is>
      </c>
      <c r="AD7" s="69" t="inlineStr">
        <is>
          <t>Th</t>
        </is>
      </c>
      <c r="AE7" s="69" t="inlineStr">
        <is>
          <t>Fr</t>
        </is>
      </c>
      <c r="AF7" s="70" t="inlineStr">
        <is>
          <t>Sa</t>
        </is>
      </c>
      <c r="AG7" s="70" t="inlineStr">
        <is>
          <t>Su</t>
        </is>
      </c>
      <c r="AH7" s="69" t="inlineStr">
        <is>
          <t>Mo</t>
        </is>
      </c>
      <c r="AI7" s="69" t="inlineStr">
        <is>
          <t>Tu</t>
        </is>
      </c>
      <c r="AJ7" s="69" t="inlineStr">
        <is>
          <t>We</t>
        </is>
      </c>
      <c r="AK7" s="69" t="inlineStr">
        <is>
          <t>Th</t>
        </is>
      </c>
      <c r="AL7" s="69" t="inlineStr">
        <is>
          <t>Fr</t>
        </is>
      </c>
      <c r="AM7" s="70" t="inlineStr">
        <is>
          <t>Sa</t>
        </is>
      </c>
      <c r="AN7" s="70" t="inlineStr">
        <is>
          <t>Su</t>
        </is>
      </c>
    </row>
    <row r="8" ht="16" customHeight="1">
      <c r="A8" s="17" t="n">
        <v>1</v>
      </c>
      <c r="B8" s="71" t="inlineStr">
        <is>
          <t>Chase Bank Building</t>
        </is>
      </c>
      <c r="C8" s="72" t="n">
        <v>2126</v>
      </c>
      <c r="D8" s="5" t="inlineStr">
        <is>
          <t>Dedicated Night 1 (3.5h)</t>
        </is>
      </c>
      <c r="E8" s="73" t="n">
        <v>3.5</v>
      </c>
      <c r="F8" s="6" t="n"/>
      <c r="G8" s="57" t="inlineStr">
        <is>
          <t>DP</t>
        </is>
      </c>
      <c r="H8" s="6" t="n"/>
      <c r="I8" s="6" t="n"/>
      <c r="J8" s="6" t="n"/>
      <c r="K8" s="59" t="inlineStr">
        <is>
          <t>SL</t>
        </is>
      </c>
      <c r="L8" s="74" t="n"/>
      <c r="M8" s="6" t="n"/>
      <c r="N8" s="6" t="n"/>
      <c r="O8" s="6" t="n"/>
      <c r="P8" s="6" t="n"/>
      <c r="Q8" s="6" t="n"/>
      <c r="R8" s="74" t="n"/>
      <c r="S8" s="74" t="n"/>
      <c r="T8" s="6" t="n"/>
      <c r="U8" s="61" t="inlineStr">
        <is>
          <t>QT</t>
        </is>
      </c>
      <c r="V8" s="6" t="n"/>
      <c r="W8" s="6" t="n"/>
      <c r="X8" s="6" t="n"/>
      <c r="Y8" s="74" t="n"/>
      <c r="Z8" s="74" t="n"/>
      <c r="AA8" s="6" t="n"/>
      <c r="AB8" s="6" t="n"/>
      <c r="AC8" s="6" t="n"/>
      <c r="AD8" s="6" t="n"/>
      <c r="AE8" s="6" t="n"/>
      <c r="AF8" s="74" t="n"/>
      <c r="AG8" s="74" t="n"/>
      <c r="AH8" s="6" t="n"/>
      <c r="AI8" s="6" t="n"/>
      <c r="AJ8" s="6" t="n"/>
      <c r="AK8" s="6" t="n"/>
      <c r="AL8" s="6" t="n"/>
      <c r="AM8" s="74" t="n"/>
      <c r="AN8" s="74" t="n"/>
    </row>
    <row r="9" ht="16" customHeight="1">
      <c r="A9" s="13" t="n">
        <v>2</v>
      </c>
      <c r="B9" s="75" t="inlineStr">
        <is>
          <t>The Westbrook</t>
        </is>
      </c>
      <c r="C9" s="76" t="n">
        <v>1520</v>
      </c>
      <c r="D9" s="14" t="inlineStr">
        <is>
          <t>Dedicated Night 2 (3.0h)</t>
        </is>
      </c>
      <c r="E9" s="77" t="n">
        <v>3</v>
      </c>
      <c r="F9" s="6" t="n"/>
      <c r="G9" s="6" t="n"/>
      <c r="H9" s="57" t="inlineStr">
        <is>
          <t>DP</t>
        </is>
      </c>
      <c r="I9" s="6" t="n"/>
      <c r="J9" s="6" t="n"/>
      <c r="K9" s="59" t="inlineStr">
        <is>
          <t>SL</t>
        </is>
      </c>
      <c r="L9" s="74" t="n"/>
      <c r="M9" s="6" t="n"/>
      <c r="N9" s="6" t="n"/>
      <c r="O9" s="6" t="n"/>
      <c r="P9" s="6" t="n"/>
      <c r="Q9" s="6" t="n"/>
      <c r="R9" s="74" t="n"/>
      <c r="S9" s="74" t="n"/>
      <c r="T9" s="6" t="n"/>
      <c r="U9" s="6" t="n"/>
      <c r="V9" s="61" t="inlineStr">
        <is>
          <t>QT</t>
        </is>
      </c>
      <c r="W9" s="6" t="n"/>
      <c r="X9" s="6" t="n"/>
      <c r="Y9" s="74" t="n"/>
      <c r="Z9" s="74" t="n"/>
      <c r="AA9" s="6" t="n"/>
      <c r="AB9" s="6" t="n"/>
      <c r="AC9" s="6" t="n"/>
      <c r="AD9" s="6" t="n"/>
      <c r="AE9" s="6" t="n"/>
      <c r="AF9" s="74" t="n"/>
      <c r="AG9" s="74" t="n"/>
      <c r="AH9" s="6" t="n"/>
      <c r="AI9" s="6" t="n"/>
      <c r="AJ9" s="6" t="n"/>
      <c r="AK9" s="6" t="n"/>
      <c r="AL9" s="6" t="n"/>
      <c r="AM9" s="74" t="n"/>
      <c r="AN9" s="74" t="n"/>
    </row>
    <row r="10" ht="16" customHeight="1">
      <c r="A10" s="17" t="n">
        <v>3</v>
      </c>
      <c r="B10" s="71" t="inlineStr">
        <is>
          <t>The Carnegie</t>
        </is>
      </c>
      <c r="C10" s="72" t="n">
        <v>1175</v>
      </c>
      <c r="D10" s="5" t="inlineStr">
        <is>
          <t>Dedicated Night 3 (2.8h)</t>
        </is>
      </c>
      <c r="E10" s="73" t="n">
        <v>2.8</v>
      </c>
      <c r="F10" s="6" t="n"/>
      <c r="G10" s="6" t="n"/>
      <c r="H10" s="6" t="n"/>
      <c r="I10" s="57" t="inlineStr">
        <is>
          <t>DP</t>
        </is>
      </c>
      <c r="J10" s="6" t="n"/>
      <c r="K10" s="59" t="inlineStr">
        <is>
          <t>SL</t>
        </is>
      </c>
      <c r="L10" s="74" t="n"/>
      <c r="M10" s="6" t="n"/>
      <c r="N10" s="6" t="n"/>
      <c r="O10" s="6" t="n"/>
      <c r="P10" s="6" t="n"/>
      <c r="Q10" s="6" t="n"/>
      <c r="R10" s="74" t="n"/>
      <c r="S10" s="74" t="n"/>
      <c r="T10" s="6" t="n"/>
      <c r="U10" s="6" t="n"/>
      <c r="V10" s="6" t="n"/>
      <c r="W10" s="61" t="inlineStr">
        <is>
          <t>QT</t>
        </is>
      </c>
      <c r="X10" s="6" t="n"/>
      <c r="Y10" s="74" t="n"/>
      <c r="Z10" s="74" t="n"/>
      <c r="AA10" s="6" t="n"/>
      <c r="AB10" s="6" t="n"/>
      <c r="AC10" s="6" t="n"/>
      <c r="AD10" s="6" t="n"/>
      <c r="AE10" s="6" t="n"/>
      <c r="AF10" s="74" t="n"/>
      <c r="AG10" s="74" t="n"/>
      <c r="AH10" s="6" t="n"/>
      <c r="AI10" s="6" t="n"/>
      <c r="AJ10" s="6" t="n"/>
      <c r="AK10" s="6" t="n"/>
      <c r="AL10" s="6" t="n"/>
      <c r="AM10" s="74" t="n"/>
      <c r="AN10" s="74" t="n"/>
    </row>
    <row r="11" ht="16" customHeight="1">
      <c r="A11" s="13" t="n">
        <v>4</v>
      </c>
      <c r="B11" s="75" t="inlineStr">
        <is>
          <t>The Cassidy</t>
        </is>
      </c>
      <c r="C11" s="76" t="n">
        <v>1134</v>
      </c>
      <c r="D11" s="14" t="inlineStr">
        <is>
          <t>Dedicated Night 4 (2.6h)</t>
        </is>
      </c>
      <c r="E11" s="77" t="n">
        <v>2.6</v>
      </c>
      <c r="F11" s="6" t="n"/>
      <c r="G11" s="6" t="n"/>
      <c r="H11" s="6" t="n"/>
      <c r="I11" s="6" t="n"/>
      <c r="J11" s="57" t="inlineStr">
        <is>
          <t>DP</t>
        </is>
      </c>
      <c r="K11" s="59" t="inlineStr">
        <is>
          <t>SL</t>
        </is>
      </c>
      <c r="L11" s="74" t="n"/>
      <c r="M11" s="6" t="n"/>
      <c r="N11" s="6" t="n"/>
      <c r="O11" s="6" t="n"/>
      <c r="P11" s="6" t="n"/>
      <c r="Q11" s="6" t="n"/>
      <c r="R11" s="74" t="n"/>
      <c r="S11" s="74" t="n"/>
      <c r="T11" s="6" t="n"/>
      <c r="U11" s="6" t="n"/>
      <c r="V11" s="6" t="n"/>
      <c r="W11" s="6" t="n"/>
      <c r="X11" s="61" t="inlineStr">
        <is>
          <t>QT</t>
        </is>
      </c>
      <c r="Y11" s="74" t="n"/>
      <c r="Z11" s="74" t="n"/>
      <c r="AA11" s="6" t="n"/>
      <c r="AB11" s="6" t="n"/>
      <c r="AC11" s="6" t="n"/>
      <c r="AD11" s="6" t="n"/>
      <c r="AE11" s="6" t="n"/>
      <c r="AF11" s="74" t="n"/>
      <c r="AG11" s="74" t="n"/>
      <c r="AH11" s="6" t="n"/>
      <c r="AI11" s="6" t="n"/>
      <c r="AJ11" s="6" t="n"/>
      <c r="AK11" s="6" t="n"/>
      <c r="AL11" s="6" t="n"/>
      <c r="AM11" s="74" t="n"/>
      <c r="AN11" s="74" t="n"/>
    </row>
    <row r="12" ht="16" customHeight="1">
      <c r="A12" s="17" t="n">
        <v>5</v>
      </c>
      <c r="B12" s="71" t="inlineStr">
        <is>
          <t>Burk Burnett Building</t>
        </is>
      </c>
      <c r="C12" s="72" t="n">
        <v>1108</v>
      </c>
      <c r="D12" s="5" t="inlineStr">
        <is>
          <t>Dedicated Night 5 (2.6h)</t>
        </is>
      </c>
      <c r="E12" s="73" t="n">
        <v>2.6</v>
      </c>
      <c r="F12" s="6" t="n"/>
      <c r="G12" s="6" t="n"/>
      <c r="H12" s="6" t="n"/>
      <c r="I12" s="6" t="n"/>
      <c r="J12" s="6" t="n"/>
      <c r="K12" s="74" t="n"/>
      <c r="L12" s="74" t="n"/>
      <c r="M12" s="57" t="inlineStr">
        <is>
          <t>DP</t>
        </is>
      </c>
      <c r="N12" s="6" t="n"/>
      <c r="O12" s="6" t="n"/>
      <c r="P12" s="6" t="n"/>
      <c r="Q12" s="6" t="n"/>
      <c r="R12" s="59" t="inlineStr">
        <is>
          <t>SL</t>
        </is>
      </c>
      <c r="S12" s="74" t="n"/>
      <c r="T12" s="6" t="n"/>
      <c r="U12" s="6" t="n"/>
      <c r="V12" s="6" t="n"/>
      <c r="W12" s="6" t="n"/>
      <c r="X12" s="6" t="n"/>
      <c r="Y12" s="74" t="n"/>
      <c r="Z12" s="74" t="n"/>
      <c r="AA12" s="61" t="inlineStr">
        <is>
          <t>QT</t>
        </is>
      </c>
      <c r="AB12" s="63" t="inlineStr">
        <is>
          <t>ST</t>
        </is>
      </c>
      <c r="AC12" s="6" t="n"/>
      <c r="AD12" s="6" t="n"/>
      <c r="AE12" s="6" t="n"/>
      <c r="AF12" s="74" t="n"/>
      <c r="AG12" s="74" t="n"/>
      <c r="AH12" s="6" t="n"/>
      <c r="AI12" s="6" t="n"/>
      <c r="AJ12" s="6" t="n"/>
      <c r="AK12" s="6" t="n"/>
      <c r="AL12" s="6" t="n"/>
      <c r="AM12" s="74" t="n"/>
      <c r="AN12" s="74" t="n"/>
    </row>
    <row r="13" ht="16" customHeight="1">
      <c r="A13" s="13" t="n">
        <v>6</v>
      </c>
      <c r="B13" s="75" t="inlineStr">
        <is>
          <t>Sanger Lofts</t>
        </is>
      </c>
      <c r="C13" s="76" t="n">
        <v>1071</v>
      </c>
      <c r="D13" s="14" t="inlineStr">
        <is>
          <t>Dedicated Night 6 (2.5h)</t>
        </is>
      </c>
      <c r="E13" s="77" t="n">
        <v>2.5</v>
      </c>
      <c r="F13" s="6" t="n"/>
      <c r="G13" s="6" t="n"/>
      <c r="H13" s="6" t="n"/>
      <c r="I13" s="6" t="n"/>
      <c r="J13" s="6" t="n"/>
      <c r="K13" s="74" t="n"/>
      <c r="L13" s="74" t="n"/>
      <c r="M13" s="6" t="n"/>
      <c r="N13" s="57" t="inlineStr">
        <is>
          <t>DP</t>
        </is>
      </c>
      <c r="O13" s="6" t="n"/>
      <c r="P13" s="6" t="n"/>
      <c r="Q13" s="6" t="n"/>
      <c r="R13" s="59" t="inlineStr">
        <is>
          <t>SL</t>
        </is>
      </c>
      <c r="S13" s="74" t="n"/>
      <c r="T13" s="6" t="n"/>
      <c r="U13" s="6" t="n"/>
      <c r="V13" s="6" t="n"/>
      <c r="W13" s="6" t="n"/>
      <c r="X13" s="6" t="n"/>
      <c r="Y13" s="74" t="n"/>
      <c r="Z13" s="74" t="n"/>
      <c r="AA13" s="6" t="n"/>
      <c r="AB13" s="61" t="inlineStr">
        <is>
          <t>QT</t>
        </is>
      </c>
      <c r="AC13" s="6" t="n"/>
      <c r="AD13" s="6" t="n"/>
      <c r="AE13" s="6" t="n"/>
      <c r="AF13" s="74" t="n"/>
      <c r="AG13" s="74" t="n"/>
      <c r="AH13" s="6" t="n"/>
      <c r="AI13" s="6" t="n"/>
      <c r="AJ13" s="6" t="n"/>
      <c r="AK13" s="6" t="n"/>
      <c r="AL13" s="6" t="n"/>
      <c r="AM13" s="74" t="n"/>
      <c r="AN13" s="74" t="n"/>
    </row>
    <row r="14" ht="16" customHeight="1">
      <c r="A14" s="17" t="n">
        <v>7</v>
      </c>
      <c r="B14" s="71" t="inlineStr">
        <is>
          <t>Petroleum Building</t>
        </is>
      </c>
      <c r="C14" s="72" t="n">
        <v>860</v>
      </c>
      <c r="D14" s="5" t="inlineStr">
        <is>
          <t>Dedicated Night 7 (2.2h)</t>
        </is>
      </c>
      <c r="E14" s="73" t="n">
        <v>2.2</v>
      </c>
      <c r="F14" s="6" t="n"/>
      <c r="G14" s="6" t="n"/>
      <c r="H14" s="6" t="n"/>
      <c r="I14" s="6" t="n"/>
      <c r="J14" s="6" t="n"/>
      <c r="K14" s="74" t="n"/>
      <c r="L14" s="74" t="n"/>
      <c r="M14" s="6" t="n"/>
      <c r="N14" s="6" t="n"/>
      <c r="O14" s="57" t="inlineStr">
        <is>
          <t>DP</t>
        </is>
      </c>
      <c r="P14" s="6" t="n"/>
      <c r="Q14" s="6" t="n"/>
      <c r="R14" s="59" t="inlineStr">
        <is>
          <t>SL</t>
        </is>
      </c>
      <c r="S14" s="74" t="n"/>
      <c r="T14" s="6" t="n"/>
      <c r="U14" s="6" t="n"/>
      <c r="V14" s="6" t="n"/>
      <c r="W14" s="6" t="n"/>
      <c r="X14" s="6" t="n"/>
      <c r="Y14" s="74" t="n"/>
      <c r="Z14" s="74" t="n"/>
      <c r="AA14" s="6" t="n"/>
      <c r="AB14" s="6" t="n"/>
      <c r="AC14" s="61" t="inlineStr">
        <is>
          <t>QT</t>
        </is>
      </c>
      <c r="AD14" s="6" t="n"/>
      <c r="AE14" s="6" t="n"/>
      <c r="AF14" s="74" t="n"/>
      <c r="AG14" s="74" t="n"/>
      <c r="AH14" s="6" t="n"/>
      <c r="AI14" s="6" t="n"/>
      <c r="AJ14" s="6" t="n"/>
      <c r="AK14" s="6" t="n"/>
      <c r="AL14" s="6" t="n"/>
      <c r="AM14" s="74" t="n"/>
      <c r="AN14" s="74" t="n"/>
    </row>
    <row r="15" ht="16" customHeight="1">
      <c r="A15" s="13" t="n">
        <v>8</v>
      </c>
      <c r="B15" s="75" t="inlineStr">
        <is>
          <t>The Commerce Building</t>
        </is>
      </c>
      <c r="C15" s="76" t="n">
        <v>840</v>
      </c>
      <c r="D15" s="14" t="inlineStr">
        <is>
          <t>Dedicated Night 8 (2.2h)</t>
        </is>
      </c>
      <c r="E15" s="77" t="n">
        <v>2.2</v>
      </c>
      <c r="F15" s="6" t="n"/>
      <c r="G15" s="6" t="n"/>
      <c r="H15" s="6" t="n"/>
      <c r="I15" s="6" t="n"/>
      <c r="J15" s="6" t="n"/>
      <c r="K15" s="74" t="n"/>
      <c r="L15" s="74" t="n"/>
      <c r="M15" s="6" t="n"/>
      <c r="N15" s="6" t="n"/>
      <c r="O15" s="6" t="n"/>
      <c r="P15" s="57" t="inlineStr">
        <is>
          <t>DP</t>
        </is>
      </c>
      <c r="Q15" s="6" t="n"/>
      <c r="R15" s="59" t="inlineStr">
        <is>
          <t>SL</t>
        </is>
      </c>
      <c r="S15" s="74" t="n"/>
      <c r="T15" s="6" t="n"/>
      <c r="U15" s="6" t="n"/>
      <c r="V15" s="6" t="n"/>
      <c r="W15" s="6" t="n"/>
      <c r="X15" s="6" t="n"/>
      <c r="Y15" s="74" t="n"/>
      <c r="Z15" s="74" t="n"/>
      <c r="AA15" s="6" t="n"/>
      <c r="AB15" s="6" t="n"/>
      <c r="AC15" s="6" t="n"/>
      <c r="AD15" s="61" t="inlineStr">
        <is>
          <t>QT</t>
        </is>
      </c>
      <c r="AE15" s="6" t="n"/>
      <c r="AF15" s="74" t="n"/>
      <c r="AG15" s="74" t="n"/>
      <c r="AH15" s="6" t="n"/>
      <c r="AI15" s="6" t="n"/>
      <c r="AJ15" s="6" t="n"/>
      <c r="AK15" s="6" t="n"/>
      <c r="AL15" s="6" t="n"/>
      <c r="AM15" s="74" t="n"/>
      <c r="AN15" s="74" t="n"/>
    </row>
    <row r="16" ht="16" customHeight="1">
      <c r="A16" s="17" t="n">
        <v>9</v>
      </c>
      <c r="B16" s="71" t="inlineStr">
        <is>
          <t>Virtuoso Building</t>
        </is>
      </c>
      <c r="C16" s="72" t="n">
        <v>560</v>
      </c>
      <c r="D16" s="5" t="inlineStr">
        <is>
          <t>Boutique Night 9 (1.8h)</t>
        </is>
      </c>
      <c r="E16" s="73" t="n">
        <v>1.8</v>
      </c>
      <c r="F16" s="6" t="n"/>
      <c r="G16" s="6" t="n"/>
      <c r="H16" s="6" t="n"/>
      <c r="I16" s="6" t="n"/>
      <c r="J16" s="6" t="n"/>
      <c r="K16" s="74" t="n"/>
      <c r="L16" s="74" t="n"/>
      <c r="M16" s="6" t="n"/>
      <c r="N16" s="6" t="n"/>
      <c r="O16" s="6" t="n"/>
      <c r="P16" s="6" t="n"/>
      <c r="Q16" s="57" t="inlineStr">
        <is>
          <t>DP</t>
        </is>
      </c>
      <c r="R16" s="59" t="inlineStr">
        <is>
          <t>SL</t>
        </is>
      </c>
      <c r="S16" s="74" t="n"/>
      <c r="T16" s="6" t="n"/>
      <c r="U16" s="6" t="n"/>
      <c r="V16" s="6" t="n"/>
      <c r="W16" s="6" t="n"/>
      <c r="X16" s="6" t="n"/>
      <c r="Y16" s="74" t="n"/>
      <c r="Z16" s="74" t="n"/>
      <c r="AA16" s="6" t="n"/>
      <c r="AB16" s="6" t="n"/>
      <c r="AC16" s="6" t="n"/>
      <c r="AD16" s="6" t="n"/>
      <c r="AE16" s="61" t="inlineStr">
        <is>
          <t>QT</t>
        </is>
      </c>
      <c r="AF16" s="74" t="n"/>
      <c r="AG16" s="74" t="n"/>
      <c r="AH16" s="6" t="n"/>
      <c r="AI16" s="6" t="n"/>
      <c r="AJ16" s="6" t="n"/>
      <c r="AK16" s="6" t="n"/>
      <c r="AL16" s="6" t="n"/>
      <c r="AM16" s="74" t="n"/>
      <c r="AN16" s="74" t="n"/>
    </row>
    <row r="17" ht="16" customHeight="1">
      <c r="A17" s="13" t="n">
        <v>10</v>
      </c>
      <c r="B17" s="75" t="inlineStr">
        <is>
          <t>Knights of Pythias Hall</t>
        </is>
      </c>
      <c r="C17" s="76" t="n">
        <v>414</v>
      </c>
      <c r="D17" s="14" t="inlineStr">
        <is>
          <t>Boutique Night 9 (1.6h)</t>
        </is>
      </c>
      <c r="E17" s="77" t="n">
        <v>1.6</v>
      </c>
      <c r="F17" s="6" t="n"/>
      <c r="G17" s="6" t="n"/>
      <c r="H17" s="6" t="n"/>
      <c r="I17" s="6" t="n"/>
      <c r="J17" s="6" t="n"/>
      <c r="K17" s="74" t="n"/>
      <c r="L17" s="74" t="n"/>
      <c r="M17" s="6" t="n"/>
      <c r="N17" s="6" t="n"/>
      <c r="O17" s="6" t="n"/>
      <c r="P17" s="6" t="n"/>
      <c r="Q17" s="57" t="inlineStr">
        <is>
          <t>DP</t>
        </is>
      </c>
      <c r="R17" s="59" t="inlineStr">
        <is>
          <t>SL</t>
        </is>
      </c>
      <c r="S17" s="74" t="n"/>
      <c r="T17" s="6" t="n"/>
      <c r="U17" s="6" t="n"/>
      <c r="V17" s="6" t="n"/>
      <c r="W17" s="6" t="n"/>
      <c r="X17" s="6" t="n"/>
      <c r="Y17" s="74" t="n"/>
      <c r="Z17" s="74" t="n"/>
      <c r="AA17" s="6" t="n"/>
      <c r="AB17" s="6" t="n"/>
      <c r="AC17" s="6" t="n"/>
      <c r="AD17" s="6" t="n"/>
      <c r="AE17" s="61" t="inlineStr">
        <is>
          <t>QT</t>
        </is>
      </c>
      <c r="AF17" s="74" t="n"/>
      <c r="AG17" s="74" t="n"/>
      <c r="AH17" s="6" t="n"/>
      <c r="AI17" s="6" t="n"/>
      <c r="AJ17" s="6" t="n"/>
      <c r="AK17" s="6" t="n"/>
      <c r="AL17" s="6" t="n"/>
      <c r="AM17" s="74" t="n"/>
      <c r="AN17" s="74" t="n"/>
    </row>
    <row r="18" ht="16" customHeight="1">
      <c r="A18" s="17" t="n">
        <v>11</v>
      </c>
      <c r="B18" s="71" t="inlineStr">
        <is>
          <t>Plaza Hotel Building</t>
        </is>
      </c>
      <c r="C18" s="72" t="n">
        <v>345</v>
      </c>
      <c r="D18" s="5" t="inlineStr">
        <is>
          <t>Boutique Night 10 (1.5h)</t>
        </is>
      </c>
      <c r="E18" s="73" t="n">
        <v>1.5</v>
      </c>
      <c r="F18" s="6" t="n"/>
      <c r="G18" s="6" t="n"/>
      <c r="H18" s="6" t="n"/>
      <c r="I18" s="6" t="n"/>
      <c r="J18" s="6" t="n"/>
      <c r="K18" s="74" t="n"/>
      <c r="L18" s="74" t="n"/>
      <c r="M18" s="6" t="n"/>
      <c r="N18" s="6" t="n"/>
      <c r="O18" s="6" t="n"/>
      <c r="P18" s="6" t="n"/>
      <c r="Q18" s="6" t="n"/>
      <c r="R18" s="74" t="n"/>
      <c r="S18" s="74" t="n"/>
      <c r="T18" s="57" t="inlineStr">
        <is>
          <t>DP</t>
        </is>
      </c>
      <c r="U18" s="59" t="inlineStr">
        <is>
          <t>SL</t>
        </is>
      </c>
      <c r="V18" s="6" t="n"/>
      <c r="W18" s="6" t="n"/>
      <c r="X18" s="6" t="n"/>
      <c r="Y18" s="74" t="n"/>
      <c r="Z18" s="74" t="n"/>
      <c r="AA18" s="6" t="n"/>
      <c r="AB18" s="6" t="n"/>
      <c r="AC18" s="6" t="n"/>
      <c r="AD18" s="6" t="n"/>
      <c r="AE18" s="6" t="n"/>
      <c r="AF18" s="74" t="n"/>
      <c r="AG18" s="74" t="n"/>
      <c r="AH18" s="61" t="inlineStr">
        <is>
          <t>QT</t>
        </is>
      </c>
      <c r="AI18" s="6" t="n"/>
      <c r="AJ18" s="6" t="n"/>
      <c r="AK18" s="6" t="n"/>
      <c r="AL18" s="6" t="n"/>
      <c r="AM18" s="74" t="n"/>
      <c r="AN18" s="74" t="n"/>
    </row>
    <row r="19" ht="18" customHeight="1">
      <c r="A19" s="20" t="inlineStr">
        <is>
          <t>TOTAL PORTFOLIO DISPATCH</t>
        </is>
      </c>
      <c r="B19" s="78" t="n"/>
      <c r="C19" s="22">
        <f>SUM(C8:C18)</f>
        <v/>
      </c>
      <c r="D19" s="79" t="inlineStr">
        <is>
          <t>10 Dedicated Shifts</t>
        </is>
      </c>
      <c r="E19" s="80">
        <f>SUM(E8:E18)</f>
        <v/>
      </c>
      <c r="F19" s="78" t="n"/>
      <c r="G19" s="78" t="n"/>
      <c r="H19" s="78" t="n"/>
      <c r="I19" s="78" t="n"/>
      <c r="J19" s="78" t="n"/>
      <c r="K19" s="78" t="n"/>
      <c r="L19" s="78" t="n"/>
      <c r="M19" s="78" t="n"/>
      <c r="N19" s="78" t="n"/>
      <c r="O19" s="78" t="n"/>
      <c r="P19" s="78" t="n"/>
      <c r="Q19" s="78" t="n"/>
      <c r="R19" s="78" t="n"/>
      <c r="S19" s="78" t="n"/>
      <c r="T19" s="78" t="n"/>
      <c r="U19" s="78" t="n"/>
      <c r="V19" s="78" t="n"/>
      <c r="W19" s="78" t="n"/>
      <c r="X19" s="78" t="n"/>
      <c r="Y19" s="78" t="n"/>
      <c r="Z19" s="78" t="n"/>
      <c r="AA19" s="78" t="n"/>
      <c r="AB19" s="78" t="n"/>
      <c r="AC19" s="78" t="n"/>
      <c r="AD19" s="78" t="n"/>
      <c r="AE19" s="78" t="n"/>
      <c r="AF19" s="78" t="n"/>
      <c r="AG19" s="78" t="n"/>
      <c r="AH19" s="78" t="n"/>
      <c r="AI19" s="78" t="n"/>
      <c r="AJ19" s="78" t="n"/>
      <c r="AK19" s="78" t="n"/>
      <c r="AL19" s="78" t="n"/>
      <c r="AM19" s="78" t="n"/>
      <c r="AN19" s="78" t="n"/>
    </row>
    <row r="20" ht="6" customHeight="1"/>
    <row r="21" ht="24" customHeight="1">
      <c r="A21" s="81" t="inlineStr">
        <is>
          <t>*Note: Shift timing and scheduled calendar dates are 100% flexible based on client preference. HWB will adapt dispatch hours (earlier start, late night, or weekend windows) to accommodate building security and tenant schedules at no additional cost.</t>
        </is>
      </c>
    </row>
  </sheetData>
  <mergeCells count="25">
    <mergeCell ref="E3:I3"/>
    <mergeCell ref="D5:D7"/>
    <mergeCell ref="A2:AN2"/>
    <mergeCell ref="A21:AN21"/>
    <mergeCell ref="A5:A7"/>
    <mergeCell ref="B5:B7"/>
    <mergeCell ref="M4:S4"/>
    <mergeCell ref="F4:L4"/>
    <mergeCell ref="A3:B3"/>
    <mergeCell ref="T5:Z5"/>
    <mergeCell ref="M5:S5"/>
    <mergeCell ref="AH5:AN5"/>
    <mergeCell ref="T4:Z4"/>
    <mergeCell ref="AH4:AN4"/>
    <mergeCell ref="C5:C7"/>
    <mergeCell ref="E5:E7"/>
    <mergeCell ref="A1:AN1"/>
    <mergeCell ref="F5:L5"/>
    <mergeCell ref="AA5:AG5"/>
    <mergeCell ref="R3:AN3"/>
    <mergeCell ref="A4:E4"/>
    <mergeCell ref="J3:Q3"/>
    <mergeCell ref="AA4:AG4"/>
    <mergeCell ref="A19:B19"/>
    <mergeCell ref="C3:D3"/>
  </mergeCells>
  <pageMargins left="0.25" right="0.25" top="0.35" bottom="0.35" header="0.5" footer="0.5"/>
  <pageSetup orientation="landscape" paperSize="1" fitToHeight="1" fitToWidth="1"/>
  <headerFooter>
    <oddHeader>&amp;C&amp;"Calibri,Bold"&amp;10 &amp;B&amp;10HWB CLEANING SERVICES LLC</oddHeader>
    <oddFooter>&amp;RPage &amp;P of &amp;N</oddFooter>
    <evenHeader>&amp;C&amp;B&amp;10HWB CLEANING SERVICES LLC</evenHeader>
    <evenFooter>&amp;RPage &amp;P of &amp;N</evenFooter>
    <firstHeader/>
    <firstFooter/>
  </headerFooter>
</worksheet>
</file>

<file path=xl/worksheets/sheet3.xml><?xml version="1.0" encoding="utf-8"?>
<worksheet xmlns="http://schemas.openxmlformats.org/spreadsheetml/2006/main">
  <sheetPr>
    <outlinePr summaryBelow="1" summaryRight="1"/>
    <pageSetUpPr fitToPage="1"/>
  </sheetPr>
  <dimension ref="A1:K16"/>
  <sheetViews>
    <sheetView showGridLines="1" workbookViewId="0">
      <selection activeCell="A1" sqref="A1"/>
    </sheetView>
  </sheetViews>
  <sheetFormatPr baseColWidth="8" defaultRowHeight="15" outlineLevelCol="0"/>
  <cols>
    <col width="6" customWidth="1" min="1" max="1"/>
    <col width="24" customWidth="1" min="2" max="2"/>
    <col width="16" customWidth="1" min="3" max="3"/>
    <col width="16" customWidth="1" min="4" max="4"/>
    <col width="16" customWidth="1" min="5" max="5"/>
    <col width="14" customWidth="1" min="6" max="6"/>
    <col width="18" customWidth="1" min="7" max="7"/>
    <col width="15" customWidth="1" min="8" max="8"/>
    <col width="16" customWidth="1" min="9" max="9"/>
    <col width="16" customWidth="1" min="10" max="10"/>
    <col width="15" customWidth="1" min="11" max="11"/>
  </cols>
  <sheetData>
    <row r="1" ht="24" customHeight="1">
      <c r="A1" s="1" t="inlineStr">
        <is>
          <t>HWB CLEANING SERVICES LLC</t>
        </is>
      </c>
    </row>
    <row r="2" ht="16" customHeight="1">
      <c r="A2" s="2" t="inlineStr">
        <is>
          <t>INTERNAL OPERATIONAL UNDERWRITING AUDIT — BOSANNA LLC DISPATCH BASIS</t>
        </is>
      </c>
    </row>
    <row r="4" ht="36" customHeight="1">
      <c r="A4" s="24" t="inlineStr">
        <is>
          <t>Item</t>
        </is>
      </c>
      <c r="B4" s="24" t="inlineStr">
        <is>
          <t>Building Name</t>
        </is>
      </c>
      <c r="C4" s="24" t="inlineStr">
        <is>
          <t>Area (SF)</t>
        </is>
      </c>
      <c r="D4" s="24" t="inlineStr">
        <is>
          <t>Crew Hours
(2 Techs)</t>
        </is>
      </c>
      <c r="E4" s="24" t="inlineStr">
        <is>
          <t>Labor Cost
($57.50/hr)</t>
        </is>
      </c>
      <c r="F4" s="24" t="inlineStr">
        <is>
          <t>Chemicals
&amp; Supplies</t>
        </is>
      </c>
      <c r="G4" s="24" t="inlineStr">
        <is>
          <t>Transit &amp; Equip</t>
        </is>
      </c>
      <c r="H4" s="24" t="inlineStr">
        <is>
          <t>Supervision
&amp; Admin</t>
        </is>
      </c>
      <c r="I4" s="24" t="inlineStr">
        <is>
          <t>Total Cost
Basis</t>
        </is>
      </c>
      <c r="J4" s="24" t="inlineStr">
        <is>
          <t>Quarterly Quote
($0.405/SF)</t>
        </is>
      </c>
      <c r="K4" s="24" t="inlineStr">
        <is>
          <t>Gross Profit
Margin %</t>
        </is>
      </c>
    </row>
    <row r="5" ht="16" customHeight="1">
      <c r="A5" s="17" t="n">
        <v>1</v>
      </c>
      <c r="B5" s="71" t="inlineStr">
        <is>
          <t>Chase Bank Building</t>
        </is>
      </c>
      <c r="C5" s="18" t="n">
        <v>2126</v>
      </c>
      <c r="D5" s="82" t="n">
        <v>3.5</v>
      </c>
      <c r="E5" s="19">
        <f>D5*57.50</f>
        <v/>
      </c>
      <c r="F5" s="19" t="n">
        <v>45</v>
      </c>
      <c r="G5" s="19" t="n">
        <v>95</v>
      </c>
      <c r="H5" s="19" t="n">
        <v>60</v>
      </c>
      <c r="I5" s="83">
        <f>SUM(E5:H5)</f>
        <v/>
      </c>
      <c r="J5" s="83">
        <f>MAX(C5,600)*0.405</f>
        <v/>
      </c>
      <c r="K5" s="84">
        <f>(J5-I5)/J5</f>
        <v/>
      </c>
    </row>
    <row r="6" ht="16" customHeight="1">
      <c r="A6" s="13" t="n">
        <v>2</v>
      </c>
      <c r="B6" s="75" t="inlineStr">
        <is>
          <t>The Westbrook</t>
        </is>
      </c>
      <c r="C6" s="15" t="n">
        <v>1520</v>
      </c>
      <c r="D6" s="85" t="n">
        <v>3</v>
      </c>
      <c r="E6" s="16">
        <f>D6*57.50</f>
        <v/>
      </c>
      <c r="F6" s="16" t="n">
        <v>35</v>
      </c>
      <c r="G6" s="16" t="n">
        <v>95</v>
      </c>
      <c r="H6" s="16" t="n">
        <v>50</v>
      </c>
      <c r="I6" s="86">
        <f>SUM(E6:H6)</f>
        <v/>
      </c>
      <c r="J6" s="86">
        <f>MAX(C6,600)*0.405</f>
        <v/>
      </c>
      <c r="K6" s="87">
        <f>(J6-I6)/J6</f>
        <v/>
      </c>
    </row>
    <row r="7" ht="16" customHeight="1">
      <c r="A7" s="17" t="n">
        <v>3</v>
      </c>
      <c r="B7" s="71" t="inlineStr">
        <is>
          <t>The Carnegie</t>
        </is>
      </c>
      <c r="C7" s="18" t="n">
        <v>1175</v>
      </c>
      <c r="D7" s="82" t="n">
        <v>2.75</v>
      </c>
      <c r="E7" s="19">
        <f>D7*57.50</f>
        <v/>
      </c>
      <c r="F7" s="19" t="n">
        <v>28</v>
      </c>
      <c r="G7" s="19" t="n">
        <v>95</v>
      </c>
      <c r="H7" s="19" t="n">
        <v>45</v>
      </c>
      <c r="I7" s="83">
        <f>SUM(E7:H7)</f>
        <v/>
      </c>
      <c r="J7" s="83">
        <f>MAX(C7,600)*0.405</f>
        <v/>
      </c>
      <c r="K7" s="84">
        <f>(J7-I7)/J7</f>
        <v/>
      </c>
    </row>
    <row r="8" ht="16" customHeight="1">
      <c r="A8" s="13" t="n">
        <v>4</v>
      </c>
      <c r="B8" s="75" t="inlineStr">
        <is>
          <t>The Cassidy</t>
        </is>
      </c>
      <c r="C8" s="15" t="n">
        <v>1134</v>
      </c>
      <c r="D8" s="85" t="n">
        <v>2.6</v>
      </c>
      <c r="E8" s="16">
        <f>D8*57.50</f>
        <v/>
      </c>
      <c r="F8" s="16" t="n">
        <v>26</v>
      </c>
      <c r="G8" s="16" t="n">
        <v>95</v>
      </c>
      <c r="H8" s="16" t="n">
        <v>45</v>
      </c>
      <c r="I8" s="86">
        <f>SUM(E8:H8)</f>
        <v/>
      </c>
      <c r="J8" s="86">
        <f>MAX(C8,600)*0.405</f>
        <v/>
      </c>
      <c r="K8" s="87">
        <f>(J8-I8)/J8</f>
        <v/>
      </c>
    </row>
    <row r="9" ht="16" customHeight="1">
      <c r="A9" s="17" t="n">
        <v>5</v>
      </c>
      <c r="B9" s="71" t="inlineStr">
        <is>
          <t>Burk Burnett Building</t>
        </is>
      </c>
      <c r="C9" s="18" t="n">
        <v>1108</v>
      </c>
      <c r="D9" s="82" t="n">
        <v>2.6</v>
      </c>
      <c r="E9" s="19">
        <f>D9*57.50</f>
        <v/>
      </c>
      <c r="F9" s="19" t="n">
        <v>26</v>
      </c>
      <c r="G9" s="19" t="n">
        <v>95</v>
      </c>
      <c r="H9" s="19" t="n">
        <v>45</v>
      </c>
      <c r="I9" s="83">
        <f>SUM(E9:H9)</f>
        <v/>
      </c>
      <c r="J9" s="83">
        <f>MAX(C9,600)*0.405</f>
        <v/>
      </c>
      <c r="K9" s="84">
        <f>(J9-I9)/J9</f>
        <v/>
      </c>
    </row>
    <row r="10" ht="16" customHeight="1">
      <c r="A10" s="13" t="n">
        <v>6</v>
      </c>
      <c r="B10" s="75" t="inlineStr">
        <is>
          <t>Sanger Lofts</t>
        </is>
      </c>
      <c r="C10" s="15" t="n">
        <v>1071</v>
      </c>
      <c r="D10" s="85" t="n">
        <v>2.5</v>
      </c>
      <c r="E10" s="16">
        <f>D10*57.50</f>
        <v/>
      </c>
      <c r="F10" s="16" t="n">
        <v>25</v>
      </c>
      <c r="G10" s="16" t="n">
        <v>95</v>
      </c>
      <c r="H10" s="16" t="n">
        <v>40</v>
      </c>
      <c r="I10" s="86">
        <f>SUM(E10:H10)</f>
        <v/>
      </c>
      <c r="J10" s="86">
        <f>MAX(C10,600)*0.405</f>
        <v/>
      </c>
      <c r="K10" s="87">
        <f>(J10-I10)/J10</f>
        <v/>
      </c>
    </row>
    <row r="11" ht="16" customHeight="1">
      <c r="A11" s="17" t="n">
        <v>7</v>
      </c>
      <c r="B11" s="71" t="inlineStr">
        <is>
          <t>Petroleum Building</t>
        </is>
      </c>
      <c r="C11" s="18" t="n">
        <v>860</v>
      </c>
      <c r="D11" s="82" t="n">
        <v>2.2</v>
      </c>
      <c r="E11" s="19">
        <f>D11*57.50</f>
        <v/>
      </c>
      <c r="F11" s="19" t="n">
        <v>20</v>
      </c>
      <c r="G11" s="19" t="n">
        <v>95</v>
      </c>
      <c r="H11" s="19" t="n">
        <v>35</v>
      </c>
      <c r="I11" s="83">
        <f>SUM(E11:H11)</f>
        <v/>
      </c>
      <c r="J11" s="83">
        <f>MAX(C11,600)*0.405</f>
        <v/>
      </c>
      <c r="K11" s="84">
        <f>(J11-I11)/J11</f>
        <v/>
      </c>
    </row>
    <row r="12" ht="16" customHeight="1">
      <c r="A12" s="13" t="n">
        <v>8</v>
      </c>
      <c r="B12" s="75" t="inlineStr">
        <is>
          <t>The Commerce Building</t>
        </is>
      </c>
      <c r="C12" s="15" t="n">
        <v>840</v>
      </c>
      <c r="D12" s="85" t="n">
        <v>2.2</v>
      </c>
      <c r="E12" s="16">
        <f>D12*57.50</f>
        <v/>
      </c>
      <c r="F12" s="16" t="n">
        <v>20</v>
      </c>
      <c r="G12" s="16" t="n">
        <v>95</v>
      </c>
      <c r="H12" s="16" t="n">
        <v>35</v>
      </c>
      <c r="I12" s="86">
        <f>SUM(E12:H12)</f>
        <v/>
      </c>
      <c r="J12" s="86">
        <f>MAX(C12,600)*0.405</f>
        <v/>
      </c>
      <c r="K12" s="87">
        <f>(J12-I12)/J12</f>
        <v/>
      </c>
    </row>
    <row r="13" ht="16" customHeight="1">
      <c r="A13" s="17" t="n">
        <v>9</v>
      </c>
      <c r="B13" s="71" t="inlineStr">
        <is>
          <t>Virtuoso Building</t>
        </is>
      </c>
      <c r="C13" s="18" t="n">
        <v>560</v>
      </c>
      <c r="D13" s="82" t="n">
        <v>1.8</v>
      </c>
      <c r="E13" s="19">
        <f>D13*57.50</f>
        <v/>
      </c>
      <c r="F13" s="19" t="n">
        <v>15</v>
      </c>
      <c r="G13" s="19" t="n">
        <v>95</v>
      </c>
      <c r="H13" s="19" t="n">
        <v>30</v>
      </c>
      <c r="I13" s="83">
        <f>SUM(E13:H13)</f>
        <v/>
      </c>
      <c r="J13" s="83">
        <f>MAX(C13,600)*0.405</f>
        <v/>
      </c>
      <c r="K13" s="84">
        <f>(J13-I13)/J13</f>
        <v/>
      </c>
    </row>
    <row r="14" ht="16" customHeight="1">
      <c r="A14" s="13" t="n">
        <v>10</v>
      </c>
      <c r="B14" s="75" t="inlineStr">
        <is>
          <t>Knights of Pythias Hall</t>
        </is>
      </c>
      <c r="C14" s="15" t="n">
        <v>414</v>
      </c>
      <c r="D14" s="85" t="n">
        <v>1.6</v>
      </c>
      <c r="E14" s="16">
        <f>D14*57.50</f>
        <v/>
      </c>
      <c r="F14" s="16" t="n">
        <v>12</v>
      </c>
      <c r="G14" s="16" t="n">
        <v>95</v>
      </c>
      <c r="H14" s="16" t="n">
        <v>25</v>
      </c>
      <c r="I14" s="86">
        <f>SUM(E14:H14)</f>
        <v/>
      </c>
      <c r="J14" s="86">
        <f>MAX(C14,600)*0.405</f>
        <v/>
      </c>
      <c r="K14" s="87">
        <f>(J14-I14)/J14</f>
        <v/>
      </c>
    </row>
    <row r="15" ht="16" customHeight="1">
      <c r="A15" s="17" t="n">
        <v>11</v>
      </c>
      <c r="B15" s="71" t="inlineStr">
        <is>
          <t>Plaza Hotel Building</t>
        </is>
      </c>
      <c r="C15" s="18" t="n">
        <v>345</v>
      </c>
      <c r="D15" s="82" t="n">
        <v>1.5</v>
      </c>
      <c r="E15" s="19">
        <f>D15*57.50</f>
        <v/>
      </c>
      <c r="F15" s="19" t="n">
        <v>10</v>
      </c>
      <c r="G15" s="19" t="n">
        <v>95</v>
      </c>
      <c r="H15" s="19" t="n">
        <v>25</v>
      </c>
      <c r="I15" s="83">
        <f>SUM(E15:H15)</f>
        <v/>
      </c>
      <c r="J15" s="83">
        <f>MAX(C15,600)*0.405</f>
        <v/>
      </c>
      <c r="K15" s="84">
        <f>(J15-I15)/J15</f>
        <v/>
      </c>
    </row>
    <row r="16" ht="28" customHeight="1">
      <c r="A16" s="88" t="inlineStr">
        <is>
          <t>TOTAL PER QUARTERLY PASS
(10 Dedicated Night Shifts)</t>
        </is>
      </c>
      <c r="B16" s="21" t="n"/>
      <c r="C16" s="22">
        <f>SUM(C5:C15)</f>
        <v/>
      </c>
      <c r="D16" s="89">
        <f>SUM(D5:D15)</f>
        <v/>
      </c>
      <c r="E16" s="23">
        <f>SUM(E5:E15)</f>
        <v/>
      </c>
      <c r="F16" s="23">
        <f>SUM(F5:F15)</f>
        <v/>
      </c>
      <c r="G16" s="23">
        <f>SUM(G5:G15)</f>
        <v/>
      </c>
      <c r="H16" s="23">
        <f>SUM(H5:H15)</f>
        <v/>
      </c>
      <c r="I16" s="23">
        <f>SUM(I5:I15)</f>
        <v/>
      </c>
      <c r="J16" s="23">
        <f>SUM(J5:J15)</f>
        <v/>
      </c>
      <c r="K16" s="90">
        <f>(J16-I16)/J16</f>
        <v/>
      </c>
    </row>
  </sheetData>
  <mergeCells count="3">
    <mergeCell ref="A2:K2"/>
    <mergeCell ref="A1:K1"/>
    <mergeCell ref="A16:B16"/>
  </mergeCells>
  <pageMargins left="0.25" right="0.25" top="0.35" bottom="0.35" header="0.5" footer="0.5"/>
  <pageSetup orientation="landscape" paperSize="1" fitToHeight="1" fitToWidth="1"/>
  <headerFooter>
    <oddHeader>&amp;C&amp;"Calibri,Bold"&amp;10 &amp;B&amp;10HWB CLEANING SERVICES LLC</oddHeader>
    <oddFooter>&amp;RPage &amp;P of &amp;N</oddFooter>
    <evenHeader>&amp;C&amp;B&amp;10HWB CLEANING SERVICES LLC</evenHeader>
    <evenFooter>&amp;RPage &amp;P of &amp;N</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2026-09-05T18:42:07Z</dcterms:created>
  <dcterms:modified xsi:type="dcterms:W3CDTF">2026-09-05T18:42:07Z</dcterms:modified>
</cp:coreProperties>
</file>