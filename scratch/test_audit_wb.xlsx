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820" tabRatio="600" firstSheet="0" activeTab="0" autoFilterDateGrouping="1"/>
  </bookViews>
  <sheets>
    <sheet name="Commercial_Quote" sheetId="1" state="visible" r:id="rId1"/>
    <sheet name="Service_Gantt_Schedule" sheetId="2" state="visible" r:id="rId2"/>
    <sheet name="Cost_Underwriting_Audit" sheetId="3" state="visible" r:id="rId3"/>
    <sheet name="Sheet1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$#,##0.00"/>
    <numFmt numFmtId="165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FFFFFFFF"/>
      <sz val="15"/>
    </font>
    <font>
      <name val="Calibri"/>
      <b val="1"/>
      <color rgb="FF93C5FD"/>
      <sz val="10.5"/>
    </font>
    <font>
      <name val="Calibri"/>
      <b val="1"/>
      <color rgb="FF0F172A"/>
      <sz val="9"/>
    </font>
    <font>
      <name val="Calibri"/>
      <color rgb="FF1E293B"/>
      <sz val="9"/>
    </font>
    <font>
      <name val="Calibri"/>
      <b val="1"/>
      <color rgb="FF991B1B"/>
      <sz val="8.5"/>
    </font>
    <font>
      <name val="Calibri"/>
      <b val="1"/>
      <color rgb="FF0F172A"/>
      <sz val="11"/>
    </font>
    <font>
      <name val="Calibri"/>
      <b val="1"/>
      <color rgb="FFFFFFFF"/>
      <sz val="9"/>
    </font>
    <font>
      <name val="Calibri"/>
      <b val="1"/>
      <color rgb="FFFFFFFF"/>
      <sz val="8.5"/>
    </font>
    <font>
      <name val="Calibri"/>
      <b val="1"/>
      <color rgb="FFFFFFFF"/>
      <sz val="7.5"/>
    </font>
    <font>
      <name val="Calibri"/>
      <family val="2"/>
      <b val="1"/>
      <color rgb="FF1E293B"/>
      <sz val="9"/>
    </font>
    <font>
      <name val="Calibri"/>
      <family val="2"/>
      <b val="1"/>
      <color rgb="FFFFFFFF"/>
      <sz val="9"/>
    </font>
  </fonts>
  <fills count="10">
    <fill>
      <patternFill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FEF2F2"/>
        <bgColor rgb="FFFEF2F2"/>
      </patternFill>
    </fill>
    <fill>
      <patternFill patternType="solid">
        <fgColor rgb="FF1E3A8A"/>
        <bgColor rgb="FF1E3A8A"/>
      </patternFill>
    </fill>
    <fill>
      <patternFill patternType="solid">
        <fgColor rgb="FFF1F5F9"/>
        <bgColor rgb="FFF1F5F9"/>
      </patternFill>
    </fill>
    <fill>
      <patternFill patternType="solid">
        <fgColor rgb="FFF8FAFC"/>
        <bgColor rgb="FFF8FAFC"/>
      </patternFill>
    </fill>
    <fill>
      <patternFill patternType="solid">
        <fgColor rgb="FF1E293B"/>
        <bgColor rgb="FF1E293B"/>
      </patternFill>
    </fill>
    <fill>
      <patternFill patternType="solid">
        <fgColor rgb="FFF0FDF4"/>
        <bgColor rgb="FFF0FDF4"/>
      </patternFill>
    </fill>
    <fill>
      <patternFill patternType="solid">
        <fgColor rgb="FF2563EB"/>
        <bgColor rgb="FF2563EB"/>
      </patternFill>
    </fill>
  </fills>
  <borders count="1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0F172A"/>
      </top>
      <bottom style="double">
        <color rgb="FF0F172A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0F172A"/>
      </top>
      <bottom/>
      <diagonal/>
    </border>
    <border>
      <left/>
      <right style="thin">
        <color rgb="FFCBD5E1"/>
      </right>
      <top style="thin">
        <color rgb="FF0F172A"/>
      </top>
      <bottom/>
      <diagonal/>
    </border>
    <border>
      <left/>
      <right/>
      <top style="thin">
        <color rgb="FF0F172A"/>
      </top>
      <bottom style="double">
        <color rgb="FF0F172A"/>
      </bottom>
      <diagonal/>
    </border>
    <border>
      <left/>
      <right style="thin">
        <color rgb="FFCBD5E1"/>
      </right>
      <top style="thin">
        <color rgb="FF0F172A"/>
      </top>
      <bottom style="double">
        <color rgb="FF0F172A"/>
      </bottom>
      <diagonal/>
    </border>
    <border>
      <left style="thin">
        <color rgb="FFCBD5E1"/>
      </left>
      <right/>
      <top/>
      <bottom/>
      <diagonal/>
    </border>
    <border>
      <left style="thin">
        <color rgb="FFCBD5E1"/>
      </left>
      <right style="thin">
        <color rgb="FFCBD5E1"/>
      </right>
      <top/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3" fillId="6" borderId="2" applyAlignment="1" pivotButton="0" quotePrefix="0" xfId="0">
      <alignment horizontal="center" vertical="center"/>
    </xf>
    <xf numFmtId="3" fontId="3" fillId="6" borderId="2" applyAlignment="1" pivotButton="0" quotePrefix="0" xfId="0">
      <alignment horizontal="right" vertical="center"/>
    </xf>
    <xf numFmtId="164" fontId="3" fillId="6" borderId="2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0" fillId="5" borderId="1" pivotButton="0" quotePrefix="0" xfId="0"/>
    <xf numFmtId="0" fontId="3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0" fontId="0" fillId="0" borderId="2" pivotButton="0" quotePrefix="0" xfId="0"/>
    <xf numFmtId="2" fontId="4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2" fontId="3" fillId="6" borderId="2" applyAlignment="1" pivotButton="0" quotePrefix="0" xfId="0">
      <alignment horizontal="right" vertical="center"/>
    </xf>
    <xf numFmtId="165" fontId="3" fillId="6" borderId="2" applyAlignment="1" pivotButton="0" quotePrefix="0" xfId="0">
      <alignment horizontal="right" vertical="center"/>
    </xf>
    <xf numFmtId="0" fontId="3" fillId="6" borderId="2" applyAlignment="1" pivotButton="0" quotePrefix="0" xfId="0">
      <alignment horizontal="center" vertical="center"/>
    </xf>
    <xf numFmtId="0" fontId="3" fillId="6" borderId="2" pivotButton="0" quotePrefix="0" xfId="0"/>
    <xf numFmtId="164" fontId="4" fillId="5" borderId="1" applyAlignment="1" pivotButton="0" quotePrefix="0" xfId="0">
      <alignment horizontal="right" vertical="center"/>
    </xf>
    <xf numFmtId="0" fontId="4" fillId="5" borderId="1" pivotButton="0" quotePrefix="0" xfId="0"/>
    <xf numFmtId="0" fontId="7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3" fillId="5" borderId="1" applyAlignment="1" pivotButton="0" quotePrefix="0" xfId="0">
      <alignment horizontal="right" vertical="center"/>
    </xf>
    <xf numFmtId="0" fontId="0" fillId="5" borderId="1" pivotButton="0" quotePrefix="0" xfId="0"/>
    <xf numFmtId="164" fontId="4" fillId="0" borderId="1" applyAlignment="1" pivotButton="0" quotePrefix="0" xfId="0">
      <alignment horizontal="right" vertical="center"/>
    </xf>
    <xf numFmtId="0" fontId="4" fillId="0" borderId="1" pivotButton="0" quotePrefix="0" xfId="0"/>
    <xf numFmtId="0" fontId="3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5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3" fillId="0" borderId="1" applyAlignment="1" pivotButton="0" quotePrefix="0" xfId="0">
      <alignment horizontal="left" vertical="center" wrapText="1"/>
    </xf>
    <xf numFmtId="164" fontId="3" fillId="6" borderId="2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/>
    </xf>
    <xf numFmtId="0" fontId="4" fillId="8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1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52</row>
      <rowOff>0</rowOff>
    </from>
    <ext cx="2667000" cy="190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47"/>
  <sheetViews>
    <sheetView tabSelected="1" topLeftCell="A4" workbookViewId="0">
      <selection activeCell="K12" sqref="K12"/>
    </sheetView>
  </sheetViews>
  <sheetFormatPr baseColWidth="8" defaultRowHeight="14.5"/>
  <cols>
    <col width="5" customWidth="1" style="53" min="1" max="1"/>
    <col width="22" customWidth="1" style="53" min="2" max="2"/>
    <col width="20" customWidth="1" style="53" min="3" max="3"/>
    <col width="30" customWidth="1" style="53" min="4" max="4"/>
    <col width="14" customWidth="1" style="53" min="5" max="5"/>
    <col width="13" customWidth="1" style="53" min="6" max="6"/>
    <col width="15" customWidth="1" style="53" min="7" max="7"/>
    <col width="13" customWidth="1" style="53" min="8" max="8"/>
    <col width="15" customWidth="1" style="53" min="9" max="9"/>
    <col width="13" customWidth="1" style="53" min="10" max="10"/>
    <col width="15" customWidth="1" style="53" min="11" max="11"/>
  </cols>
  <sheetData>
    <row r="1" ht="28" customHeight="1" s="53">
      <c r="A1" s="52" t="inlineStr">
        <is>
          <t>HWB CLEANING SERVICES LLC | INSTITUTIONAL DIVISION</t>
        </is>
      </c>
    </row>
    <row r="2" ht="18" customHeight="1" s="53">
      <c r="A2" s="61" t="inlineStr">
        <is>
          <t>COMMERCIAL PROPOSAL: DOWNTOWN FORT WORTH 11-BUILDING LOBBY FLOOR CARE PORTFOLIO</t>
        </is>
      </c>
    </row>
    <row r="4" ht="16" customHeight="1" s="53">
      <c r="A4" s="1" t="inlineStr">
        <is>
          <t>Client:</t>
        </is>
      </c>
      <c r="B4" s="2" t="inlineStr">
        <is>
          <t>Sundance Square &amp; Downtown Commercial Property Management</t>
        </is>
      </c>
      <c r="H4" s="1" t="inlineStr">
        <is>
          <t>Proposal ID:</t>
        </is>
      </c>
      <c r="I4" s="2" t="inlineStr">
        <is>
          <t>HWB-BID-2026-FW01 (v2.2.0)</t>
        </is>
      </c>
    </row>
    <row r="5" ht="16" customHeight="1" s="53">
      <c r="A5" s="1" t="inlineStr">
        <is>
          <t>Property:</t>
        </is>
      </c>
      <c r="B5" s="2" t="inlineStr">
        <is>
          <t>Downtown Fort Worth Commercial Portfolio (11 Buildings)</t>
        </is>
      </c>
      <c r="H5" s="1" t="inlineStr">
        <is>
          <t>Effective Date:</t>
        </is>
      </c>
      <c r="I5" s="2" t="inlineStr">
        <is>
          <t>September 02, 2026</t>
        </is>
      </c>
    </row>
    <row r="6" ht="16" customHeight="1" s="53">
      <c r="A6" s="1" t="inlineStr">
        <is>
          <t>Central Office:</t>
        </is>
      </c>
      <c r="B6" s="2" t="inlineStr">
        <is>
          <t>425 Houston Street, Suite 250, Fort Worth, TX 76102</t>
        </is>
      </c>
      <c r="H6" s="1" t="inlineStr">
        <is>
          <t>Dispatch Origin:</t>
        </is>
      </c>
      <c r="I6" s="2" t="inlineStr">
        <is>
          <t>McKinney, TX (124 mi round-trip)</t>
        </is>
      </c>
    </row>
    <row r="7" ht="16" customHeight="1" s="53">
      <c r="A7" s="1" t="inlineStr">
        <is>
          <t>Primary Scope:</t>
        </is>
      </c>
      <c r="B7" s="2" t="inlineStr">
        <is>
          <t>11 Ground-Floor Commercial Lobbies (21,600 Cleanable SF)</t>
        </is>
      </c>
      <c r="H7" s="1" t="inlineStr">
        <is>
          <t>Operational Crew:</t>
        </is>
      </c>
      <c r="I7" s="2" t="inlineStr">
        <is>
          <t>2 Specialized Floor Technicians</t>
        </is>
      </c>
    </row>
    <row r="8" ht="20" customHeight="1" s="53">
      <c r="A8" s="63" t="inlineStr">
        <is>
          <t>DATA INTEGRITY NOTICE (ISO 9001 Clause 8.2.2): Cleanable square footages are preliminary architectural deductions. Final billing is reconciled to on-site digital laser measurements.</t>
        </is>
      </c>
    </row>
    <row r="10">
      <c r="A10" s="3" t="inlineStr">
        <is>
          <t>1.0 BASELINE LOBBY FLOOR CARE SCOPE: MONTHLY, QUARTERLY &amp; EVERY SIX MONTHS</t>
        </is>
      </c>
    </row>
    <row r="11" ht="36" customHeight="1" s="53">
      <c r="A11" s="4" t="inlineStr">
        <is>
          <t>Item</t>
        </is>
      </c>
      <c r="B11" s="4" t="inlineStr">
        <is>
          <t>Building Name</t>
        </is>
      </c>
      <c r="C11" s="4" t="inlineStr">
        <is>
          <t>Address</t>
        </is>
      </c>
      <c r="D11" s="4" t="inlineStr">
        <is>
          <t>Primary Floor Substrate</t>
        </is>
      </c>
      <c r="E11" s="4" t="inlineStr">
        <is>
          <t>Cleanable Area
(SQFT)</t>
        </is>
      </c>
      <c r="F11" s="4" t="inlineStr">
        <is>
          <t>Monthly Rate
(Per SF)</t>
        </is>
      </c>
      <c r="G11" s="69" t="inlineStr">
        <is>
          <t>Monthly Option
Total</t>
        </is>
      </c>
      <c r="H11" s="4" t="inlineStr">
        <is>
          <t>Quarterly Rate
(Per SF)</t>
        </is>
      </c>
      <c r="I11" s="69" t="inlineStr">
        <is>
          <t>Quarterly Option
Total</t>
        </is>
      </c>
      <c r="J11" s="4" t="inlineStr">
        <is>
          <t>Semi-Annual Rate
(Per SF)</t>
        </is>
      </c>
      <c r="K11" s="69" t="inlineStr">
        <is>
          <t>Every 6 Months
Total</t>
        </is>
      </c>
    </row>
    <row r="12" ht="18" customHeight="1" s="53">
      <c r="A12" s="5" t="n">
        <v>1</v>
      </c>
      <c r="B12" s="67" t="inlineStr">
        <is>
          <t>The Westbrook</t>
        </is>
      </c>
      <c r="C12" s="10" t="inlineStr">
        <is>
          <t>425 Houston St</t>
        </is>
      </c>
      <c r="D12" s="10" t="inlineStr">
        <is>
          <t>Polished Granite &amp; Terrazzo</t>
        </is>
      </c>
      <c r="E12" s="11" t="n">
        <v>1520</v>
      </c>
      <c r="F12" s="40" t="n">
        <v>0.6</v>
      </c>
      <c r="G12" s="40">
        <f>E12*F12</f>
        <v/>
      </c>
      <c r="H12" s="40" t="n">
        <v>0.8</v>
      </c>
      <c r="I12" s="40">
        <f>E12*H12</f>
        <v/>
      </c>
      <c r="J12" s="40" t="n">
        <v>1.2</v>
      </c>
      <c r="K12" s="40">
        <f>E12*J12</f>
        <v/>
      </c>
    </row>
    <row r="13" ht="18" customHeight="1" s="53">
      <c r="A13" s="9" t="n">
        <v>2</v>
      </c>
      <c r="B13" s="68" t="inlineStr">
        <is>
          <t>Chase Bank Building</t>
        </is>
      </c>
      <c r="C13" s="6" t="inlineStr">
        <is>
          <t>420 Throckmorton St</t>
        </is>
      </c>
      <c r="D13" s="6" t="inlineStr">
        <is>
          <t>Polished Granite &amp; Marble Slab</t>
        </is>
      </c>
      <c r="E13" s="7" t="n">
        <v>2126</v>
      </c>
      <c r="F13" s="40" t="n">
        <v>0.6</v>
      </c>
      <c r="G13" s="46">
        <f>E13*F13</f>
        <v/>
      </c>
      <c r="H13" s="40" t="n">
        <v>0.8</v>
      </c>
      <c r="I13" s="46">
        <f>E13*H13</f>
        <v/>
      </c>
      <c r="J13" s="40" t="n">
        <v>1.2</v>
      </c>
      <c r="K13" s="46">
        <f>E13*J13</f>
        <v/>
      </c>
    </row>
    <row r="14" ht="18" customHeight="1" s="53">
      <c r="A14" s="5" t="n">
        <v>3</v>
      </c>
      <c r="B14" s="67" t="inlineStr">
        <is>
          <t>The Commerce Building</t>
        </is>
      </c>
      <c r="C14" s="10" t="inlineStr">
        <is>
          <t>420 Commerce St</t>
        </is>
      </c>
      <c r="D14" s="10" t="inlineStr">
        <is>
          <t>Architectural Cast Stone &amp; Terrazzo</t>
        </is>
      </c>
      <c r="E14" s="11" t="n">
        <v>840</v>
      </c>
      <c r="F14" s="40" t="n">
        <v>0.6</v>
      </c>
      <c r="G14" s="40">
        <f>E14*F14</f>
        <v/>
      </c>
      <c r="H14" s="40" t="n">
        <v>0.8</v>
      </c>
      <c r="I14" s="40">
        <f>E14*H14</f>
        <v/>
      </c>
      <c r="J14" s="40" t="n">
        <v>1.2</v>
      </c>
      <c r="K14" s="40">
        <f>E14*J14</f>
        <v/>
      </c>
    </row>
    <row r="15" ht="18" customHeight="1" s="53">
      <c r="A15" s="9" t="n">
        <v>4</v>
      </c>
      <c r="B15" s="68" t="inlineStr">
        <is>
          <t>Virtuoso Building (The Shwarts)</t>
        </is>
      </c>
      <c r="C15" s="6" t="inlineStr">
        <is>
          <t>505 Main St</t>
        </is>
      </c>
      <c r="D15" s="6" t="inlineStr">
        <is>
          <t>Commercial Ceramic Tile &amp; Terrazzo</t>
        </is>
      </c>
      <c r="E15" s="7" t="n">
        <v>560</v>
      </c>
      <c r="F15" s="40" t="n">
        <v>0.6</v>
      </c>
      <c r="G15" s="46">
        <f>E15*F15</f>
        <v/>
      </c>
      <c r="H15" s="40" t="n">
        <v>0.8</v>
      </c>
      <c r="I15" s="46">
        <f>E15*H15</f>
        <v/>
      </c>
      <c r="J15" s="40" t="n">
        <v>1.2</v>
      </c>
      <c r="K15" s="46">
        <f>E15*J15</f>
        <v/>
      </c>
    </row>
    <row r="16" ht="18" customHeight="1" s="53">
      <c r="A16" s="5" t="n">
        <v>5</v>
      </c>
      <c r="B16" s="67" t="inlineStr">
        <is>
          <t>Knights of Pythias Hall</t>
        </is>
      </c>
      <c r="C16" s="10" t="inlineStr">
        <is>
          <t>109-110 E 3rd St</t>
        </is>
      </c>
      <c r="D16" s="10" t="inlineStr">
        <is>
          <t>Historic Mosaic Tile &amp; Stone Border</t>
        </is>
      </c>
      <c r="E16" s="11" t="n">
        <v>414</v>
      </c>
      <c r="F16" s="40" t="n">
        <v>0.6</v>
      </c>
      <c r="G16" s="40">
        <f>E16*F16</f>
        <v/>
      </c>
      <c r="H16" s="40" t="n">
        <v>0.8</v>
      </c>
      <c r="I16" s="40">
        <f>E16*H16</f>
        <v/>
      </c>
      <c r="J16" s="40" t="n">
        <v>1.2</v>
      </c>
      <c r="K16" s="40">
        <f>E16*J16</f>
        <v/>
      </c>
    </row>
    <row r="17" ht="18" customHeight="1" s="53">
      <c r="A17" s="9" t="n">
        <v>6</v>
      </c>
      <c r="B17" s="68" t="inlineStr">
        <is>
          <t>Burk Burnett Building</t>
        </is>
      </c>
      <c r="C17" s="6" t="inlineStr">
        <is>
          <t>500 Main St</t>
        </is>
      </c>
      <c r="D17" s="6" t="inlineStr">
        <is>
          <t>Classic Marble &amp; Brass Inlay Terrazzo</t>
        </is>
      </c>
      <c r="E17" s="7" t="n">
        <v>1108</v>
      </c>
      <c r="F17" s="40" t="n">
        <v>0.6</v>
      </c>
      <c r="G17" s="46">
        <f>E17*F17</f>
        <v/>
      </c>
      <c r="H17" s="40" t="n">
        <v>0.8</v>
      </c>
      <c r="I17" s="46">
        <f>E17*H17</f>
        <v/>
      </c>
      <c r="J17" s="40" t="n">
        <v>1.2</v>
      </c>
      <c r="K17" s="46">
        <f>E17*J17</f>
        <v/>
      </c>
    </row>
    <row r="18" ht="18" customHeight="1" s="53">
      <c r="A18" s="5" t="n">
        <v>7</v>
      </c>
      <c r="B18" s="67" t="inlineStr">
        <is>
          <t>The Carnegie</t>
        </is>
      </c>
      <c r="C18" s="10" t="inlineStr">
        <is>
          <t>421 W 3rd St</t>
        </is>
      </c>
      <c r="D18" s="10" t="inlineStr">
        <is>
          <t>High-Gloss Polished Marble &amp; Stone</t>
        </is>
      </c>
      <c r="E18" s="11" t="n">
        <v>1775</v>
      </c>
      <c r="F18" s="40" t="n">
        <v>0.6</v>
      </c>
      <c r="G18" s="40">
        <f>E18*F18</f>
        <v/>
      </c>
      <c r="H18" s="40" t="n">
        <v>0.8</v>
      </c>
      <c r="I18" s="40">
        <f>E18*H18</f>
        <v/>
      </c>
      <c r="J18" s="40" t="n">
        <v>1.2</v>
      </c>
      <c r="K18" s="40">
        <f>E18*J18</f>
        <v/>
      </c>
    </row>
    <row r="19" ht="18" customHeight="1" s="53">
      <c r="A19" s="9" t="n">
        <v>8</v>
      </c>
      <c r="B19" s="68" t="inlineStr">
        <is>
          <t>Petroleum Building</t>
        </is>
      </c>
      <c r="C19" s="6" t="inlineStr">
        <is>
          <t>210 W 6th St</t>
        </is>
      </c>
      <c r="D19" s="6" t="inlineStr">
        <is>
          <t>1927 Art Deco Terrazzo with Brass Dividers</t>
        </is>
      </c>
      <c r="E19" s="7" t="n">
        <v>860</v>
      </c>
      <c r="F19" s="40" t="n">
        <v>0.6</v>
      </c>
      <c r="G19" s="46">
        <f>E19*F19</f>
        <v/>
      </c>
      <c r="H19" s="40" t="n">
        <v>0.8</v>
      </c>
      <c r="I19" s="46">
        <f>E19*H19</f>
        <v/>
      </c>
      <c r="J19" s="40" t="n">
        <v>1.2</v>
      </c>
      <c r="K19" s="46">
        <f>E19*J19</f>
        <v/>
      </c>
    </row>
    <row r="20" ht="18" customHeight="1" s="53">
      <c r="A20" s="5" t="n">
        <v>9</v>
      </c>
      <c r="B20" s="67" t="inlineStr">
        <is>
          <t>Sanger Lofts</t>
        </is>
      </c>
      <c r="C20" s="10" t="inlineStr">
        <is>
          <t>222 W 4th St</t>
        </is>
      </c>
      <c r="D20" s="10" t="inlineStr">
        <is>
          <t>Polished Concrete &amp; Sealed Terrazzo</t>
        </is>
      </c>
      <c r="E20" s="11" t="n">
        <v>1071</v>
      </c>
      <c r="F20" s="40" t="n">
        <v>0.6</v>
      </c>
      <c r="G20" s="40">
        <f>E20*F20</f>
        <v/>
      </c>
      <c r="H20" s="40" t="n">
        <v>0.8</v>
      </c>
      <c r="I20" s="40">
        <f>E20*H20</f>
        <v/>
      </c>
      <c r="J20" s="40" t="n">
        <v>1.2</v>
      </c>
      <c r="K20" s="40">
        <f>E20*J20</f>
        <v/>
      </c>
    </row>
    <row r="21" ht="18" customHeight="1" s="53">
      <c r="A21" s="9" t="n">
        <v>10</v>
      </c>
      <c r="B21" s="68" t="inlineStr">
        <is>
          <t>Plaza Hotel Building</t>
        </is>
      </c>
      <c r="C21" s="6" t="inlineStr">
        <is>
          <t>303 Main St</t>
        </is>
      </c>
      <c r="D21" s="6" t="inlineStr">
        <is>
          <t>Commercial Porcelain Tile &amp; Pavers</t>
        </is>
      </c>
      <c r="E21" s="7" t="n">
        <v>345</v>
      </c>
      <c r="F21" s="40" t="n">
        <v>0.6</v>
      </c>
      <c r="G21" s="46">
        <f>E21*F21</f>
        <v/>
      </c>
      <c r="H21" s="40" t="n">
        <v>0.8</v>
      </c>
      <c r="I21" s="46">
        <f>E21*H21</f>
        <v/>
      </c>
      <c r="J21" s="40" t="n">
        <v>1.2</v>
      </c>
      <c r="K21" s="46">
        <f>E21*J21</f>
        <v/>
      </c>
    </row>
    <row r="22" ht="18" customHeight="1" s="53">
      <c r="A22" s="5" t="n">
        <v>11</v>
      </c>
      <c r="B22" s="67" t="inlineStr">
        <is>
          <t>The Cassidy</t>
        </is>
      </c>
      <c r="C22" s="10" t="inlineStr">
        <is>
          <t>407 Throckmorton St</t>
        </is>
      </c>
      <c r="D22" s="10" t="inlineStr">
        <is>
          <t>Modern Architectural Stone &amp; Terrazzo</t>
        </is>
      </c>
      <c r="E22" s="11" t="n">
        <v>1134</v>
      </c>
      <c r="F22" s="40" t="n">
        <v>0.6</v>
      </c>
      <c r="G22" s="40">
        <f>E22*F22</f>
        <v/>
      </c>
      <c r="H22" s="40" t="n">
        <v>0.8</v>
      </c>
      <c r="I22" s="40">
        <f>E22*H22</f>
        <v/>
      </c>
      <c r="J22" s="40" t="n">
        <v>1.2</v>
      </c>
      <c r="K22" s="40">
        <f>E22*J22</f>
        <v/>
      </c>
    </row>
    <row r="23" ht="22" customHeight="1" s="53">
      <c r="A23" s="38" t="inlineStr">
        <is>
          <t>GRAND TOTAL SQUARE FOOTAGE (11 Lobbies)</t>
        </is>
      </c>
      <c r="B23" s="70" t="n"/>
      <c r="C23" s="70" t="n"/>
      <c r="D23" s="71" t="n"/>
      <c r="E23" s="14">
        <f>SUM(E12:E22)</f>
        <v/>
      </c>
      <c r="F23" s="38" t="inlineStr">
        <is>
          <t>$0.24 avg</t>
        </is>
      </c>
      <c r="G23" s="58">
        <f>SUM(G12:G22)</f>
        <v/>
      </c>
      <c r="H23" s="38" t="inlineStr">
        <is>
          <t>$0.32 avg</t>
        </is>
      </c>
      <c r="I23" s="58">
        <f>SUM(I12:I22)</f>
        <v/>
      </c>
      <c r="J23" s="38" t="inlineStr">
        <is>
          <t>$0.38 avg</t>
        </is>
      </c>
      <c r="K23" s="58">
        <f>SUM(K12:K22)</f>
        <v/>
      </c>
    </row>
    <row r="25">
      <c r="A25" s="3" t="inlineStr">
        <is>
          <t>2.0 ADDITIONAL CLIENT OPTIONS: PENETRATING SEALER, STAIRCARE &amp; RESTORATION</t>
        </is>
      </c>
    </row>
    <row r="26" ht="42" customHeight="1" s="53">
      <c r="A26" s="42" t="inlineStr">
        <is>
          <t>Item</t>
        </is>
      </c>
      <c r="B26" s="42" t="inlineStr">
        <is>
          <t>Building Name</t>
        </is>
      </c>
      <c r="C26" s="42" t="inlineStr">
        <is>
          <t>Address</t>
        </is>
      </c>
      <c r="D26" s="42" t="inlineStr">
        <is>
          <t>Primary Floor Substrate</t>
        </is>
      </c>
      <c r="E26" s="42" t="inlineStr">
        <is>
          <t>Cleanable Area
(SQFT)</t>
        </is>
      </c>
      <c r="F26" s="42" t="inlineStr">
        <is>
          <t>Option A:
BulletProof® Sealer
($0.18 / SF)</t>
        </is>
      </c>
      <c r="G26" s="42" t="inlineStr">
        <is>
          <t>Option B:
Stair Care
(Per Visit Add-On)</t>
        </is>
      </c>
      <c r="H26" s="42" t="inlineStr">
        <is>
          <t>Option C:
Diamond Restoration
($1.85 / SF)</t>
        </is>
      </c>
      <c r="I26" s="72" t="n"/>
      <c r="J26" s="72" t="n"/>
      <c r="K26" s="73" t="n"/>
    </row>
    <row r="27" ht="18" customHeight="1" s="53">
      <c r="A27" s="9" t="n">
        <v>1</v>
      </c>
      <c r="B27" s="67" t="inlineStr">
        <is>
          <t>The Westbrook</t>
        </is>
      </c>
      <c r="C27" s="10" t="inlineStr">
        <is>
          <t>425 Houston St</t>
        </is>
      </c>
      <c r="D27" s="10" t="inlineStr">
        <is>
          <t>Polished Granite &amp; Terrazzo</t>
        </is>
      </c>
      <c r="E27" s="11" t="n">
        <v>1520</v>
      </c>
      <c r="F27" s="46">
        <f>E27*0.18</f>
        <v/>
      </c>
      <c r="G27" s="46" t="n">
        <v>0</v>
      </c>
      <c r="H27" s="46">
        <f>E27*1.85</f>
        <v/>
      </c>
      <c r="I27" s="72" t="n"/>
      <c r="J27" s="72" t="n"/>
      <c r="K27" s="73" t="n"/>
    </row>
    <row r="28" ht="18" customHeight="1" s="53">
      <c r="A28" s="5" t="n">
        <v>2</v>
      </c>
      <c r="B28" s="68" t="inlineStr">
        <is>
          <t>Chase Bank Building</t>
        </is>
      </c>
      <c r="C28" s="6" t="inlineStr">
        <is>
          <t>420 Throckmorton St</t>
        </is>
      </c>
      <c r="D28" s="6" t="inlineStr">
        <is>
          <t>Polished Granite &amp; Marble Slab</t>
        </is>
      </c>
      <c r="E28" s="7" t="n">
        <v>2126</v>
      </c>
      <c r="F28" s="40">
        <f>E28*0.18</f>
        <v/>
      </c>
      <c r="G28" s="40" t="n">
        <v>35</v>
      </c>
      <c r="H28" s="40">
        <f>E28*1.85</f>
        <v/>
      </c>
      <c r="I28" s="72" t="n"/>
      <c r="J28" s="72" t="n"/>
      <c r="K28" s="73" t="n"/>
    </row>
    <row r="29" ht="18" customHeight="1" s="53">
      <c r="A29" s="9" t="n">
        <v>3</v>
      </c>
      <c r="B29" s="67" t="inlineStr">
        <is>
          <t>The Commerce Building</t>
        </is>
      </c>
      <c r="C29" s="10" t="inlineStr">
        <is>
          <t>420 Commerce St</t>
        </is>
      </c>
      <c r="D29" s="10" t="inlineStr">
        <is>
          <t>Architectural Cast Stone &amp; Terrazzo</t>
        </is>
      </c>
      <c r="E29" s="11" t="n">
        <v>840</v>
      </c>
      <c r="F29" s="46">
        <f>E29*0.18</f>
        <v/>
      </c>
      <c r="G29" s="46" t="n">
        <v>0</v>
      </c>
      <c r="H29" s="46">
        <f>E29*1.85</f>
        <v/>
      </c>
      <c r="I29" s="72" t="n"/>
      <c r="J29" s="72" t="n"/>
      <c r="K29" s="73" t="n"/>
    </row>
    <row r="30" ht="18" customHeight="1" s="53">
      <c r="A30" s="5" t="n">
        <v>4</v>
      </c>
      <c r="B30" s="68" t="inlineStr">
        <is>
          <t>Virtuoso Building (The Shwarts)</t>
        </is>
      </c>
      <c r="C30" s="6" t="inlineStr">
        <is>
          <t>505 Main St</t>
        </is>
      </c>
      <c r="D30" s="6" t="inlineStr">
        <is>
          <t>Commercial Ceramic Tile &amp; Terrazzo</t>
        </is>
      </c>
      <c r="E30" s="7" t="n">
        <v>560</v>
      </c>
      <c r="F30" s="40">
        <f>E30*0.18</f>
        <v/>
      </c>
      <c r="G30" s="40" t="n">
        <v>0</v>
      </c>
      <c r="H30" s="40">
        <f>E30*1.85</f>
        <v/>
      </c>
      <c r="I30" s="72" t="n"/>
      <c r="J30" s="72" t="n"/>
      <c r="K30" s="73" t="n"/>
    </row>
    <row r="31" ht="18" customHeight="1" s="53">
      <c r="A31" s="9" t="n">
        <v>5</v>
      </c>
      <c r="B31" s="67" t="inlineStr">
        <is>
          <t>Knights of Pythias Hall</t>
        </is>
      </c>
      <c r="C31" s="10" t="inlineStr">
        <is>
          <t>109-110 E 3rd St</t>
        </is>
      </c>
      <c r="D31" s="10" t="inlineStr">
        <is>
          <t>Historic Mosaic Tile &amp; Stone Border</t>
        </is>
      </c>
      <c r="E31" s="11" t="n">
        <v>414</v>
      </c>
      <c r="F31" s="46">
        <f>E31*0.18</f>
        <v/>
      </c>
      <c r="G31" s="46" t="n">
        <v>40</v>
      </c>
      <c r="H31" s="46">
        <f>E31*1.85</f>
        <v/>
      </c>
      <c r="I31" s="72" t="n"/>
      <c r="J31" s="72" t="n"/>
      <c r="K31" s="73" t="n"/>
    </row>
    <row r="32" ht="18" customHeight="1" s="53">
      <c r="A32" s="5" t="n">
        <v>6</v>
      </c>
      <c r="B32" s="68" t="inlineStr">
        <is>
          <t>Burk Burnett Building</t>
        </is>
      </c>
      <c r="C32" s="6" t="inlineStr">
        <is>
          <t>500 Main St</t>
        </is>
      </c>
      <c r="D32" s="6" t="inlineStr">
        <is>
          <t>Classic Marble &amp; Brass Inlay Terrazzo</t>
        </is>
      </c>
      <c r="E32" s="7" t="n">
        <v>1108</v>
      </c>
      <c r="F32" s="40">
        <f>E32*0.18</f>
        <v/>
      </c>
      <c r="G32" s="40" t="n">
        <v>40</v>
      </c>
      <c r="H32" s="40">
        <f>E32*1.85</f>
        <v/>
      </c>
      <c r="I32" s="72" t="n"/>
      <c r="J32" s="72" t="n"/>
      <c r="K32" s="73" t="n"/>
    </row>
    <row r="33" ht="18" customHeight="1" s="53">
      <c r="A33" s="9" t="n">
        <v>7</v>
      </c>
      <c r="B33" s="67" t="inlineStr">
        <is>
          <t>The Carnegie</t>
        </is>
      </c>
      <c r="C33" s="10" t="inlineStr">
        <is>
          <t>421 W 3rd St</t>
        </is>
      </c>
      <c r="D33" s="10" t="inlineStr">
        <is>
          <t>High-Gloss Polished Marble &amp; Stone</t>
        </is>
      </c>
      <c r="E33" s="11" t="n">
        <v>1775</v>
      </c>
      <c r="F33" s="46">
        <f>E33*0.18</f>
        <v/>
      </c>
      <c r="G33" s="46" t="n">
        <v>45</v>
      </c>
      <c r="H33" s="46">
        <f>E33*1.85</f>
        <v/>
      </c>
      <c r="I33" s="72" t="n"/>
      <c r="J33" s="72" t="n"/>
      <c r="K33" s="73" t="n"/>
    </row>
    <row r="34" ht="18" customHeight="1" s="53">
      <c r="A34" s="5" t="n">
        <v>8</v>
      </c>
      <c r="B34" s="68" t="inlineStr">
        <is>
          <t>Petroleum Building</t>
        </is>
      </c>
      <c r="C34" s="6" t="inlineStr">
        <is>
          <t>210 W 6th St</t>
        </is>
      </c>
      <c r="D34" s="6" t="inlineStr">
        <is>
          <t>1927 Art Deco Terrazzo with Brass Dividers</t>
        </is>
      </c>
      <c r="E34" s="7" t="n">
        <v>860</v>
      </c>
      <c r="F34" s="40">
        <f>E34*0.18</f>
        <v/>
      </c>
      <c r="G34" s="40" t="n">
        <v>30</v>
      </c>
      <c r="H34" s="40">
        <f>E34*1.85</f>
        <v/>
      </c>
      <c r="I34" s="72" t="n"/>
      <c r="J34" s="72" t="n"/>
      <c r="K34" s="73" t="n"/>
    </row>
    <row r="35" ht="18" customHeight="1" s="53">
      <c r="A35" s="9" t="n">
        <v>9</v>
      </c>
      <c r="B35" s="67" t="inlineStr">
        <is>
          <t>Sanger Lofts</t>
        </is>
      </c>
      <c r="C35" s="10" t="inlineStr">
        <is>
          <t>222 W 4th St</t>
        </is>
      </c>
      <c r="D35" s="10" t="inlineStr">
        <is>
          <t>Polished Concrete &amp; Sealed Terrazzo</t>
        </is>
      </c>
      <c r="E35" s="11" t="n">
        <v>1071</v>
      </c>
      <c r="F35" s="46">
        <f>E35*0.18</f>
        <v/>
      </c>
      <c r="G35" s="46" t="n">
        <v>30</v>
      </c>
      <c r="H35" s="46">
        <f>E35*1.85</f>
        <v/>
      </c>
      <c r="I35" s="72" t="n"/>
      <c r="J35" s="72" t="n"/>
      <c r="K35" s="73" t="n"/>
    </row>
    <row r="36" ht="18" customHeight="1" s="53">
      <c r="A36" s="5" t="n">
        <v>10</v>
      </c>
      <c r="B36" s="68" t="inlineStr">
        <is>
          <t>Plaza Hotel Building</t>
        </is>
      </c>
      <c r="C36" s="6" t="inlineStr">
        <is>
          <t>303 Main St</t>
        </is>
      </c>
      <c r="D36" s="6" t="inlineStr">
        <is>
          <t>Commercial Porcelain Tile &amp; Pavers</t>
        </is>
      </c>
      <c r="E36" s="7" t="n">
        <v>345</v>
      </c>
      <c r="F36" s="40">
        <f>E36*0.18</f>
        <v/>
      </c>
      <c r="G36" s="40" t="n">
        <v>30</v>
      </c>
      <c r="H36" s="40">
        <f>E36*1.85</f>
        <v/>
      </c>
      <c r="I36" s="72" t="n"/>
      <c r="J36" s="72" t="n"/>
      <c r="K36" s="73" t="n"/>
    </row>
    <row r="37" ht="18" customHeight="1" s="53">
      <c r="A37" s="9" t="n">
        <v>11</v>
      </c>
      <c r="B37" s="67" t="inlineStr">
        <is>
          <t>The Cassidy</t>
        </is>
      </c>
      <c r="C37" s="10" t="inlineStr">
        <is>
          <t>407 Throckmorton St</t>
        </is>
      </c>
      <c r="D37" s="10" t="inlineStr">
        <is>
          <t>Modern Architectural Stone &amp; Terrazzo</t>
        </is>
      </c>
      <c r="E37" s="11" t="n">
        <v>1134</v>
      </c>
      <c r="F37" s="46">
        <f>E37*0.18</f>
        <v/>
      </c>
      <c r="G37" s="46" t="n">
        <v>0</v>
      </c>
      <c r="H37" s="46">
        <f>E37*1.85</f>
        <v/>
      </c>
      <c r="I37" s="72" t="n"/>
      <c r="J37" s="72" t="n"/>
      <c r="K37" s="73" t="n"/>
    </row>
    <row r="38" ht="22" customHeight="1" s="53">
      <c r="A38" s="38" t="inlineStr">
        <is>
          <t>GRAND TOTAL SQUARE FOOTAGE (Additional Options)</t>
        </is>
      </c>
      <c r="B38" s="70" t="n"/>
      <c r="C38" s="70" t="n"/>
      <c r="D38" s="71" t="n"/>
      <c r="E38" s="14">
        <f>SUM(E27:E37)</f>
        <v/>
      </c>
      <c r="F38" s="58">
        <f>SUM(F27:F37)</f>
        <v/>
      </c>
      <c r="G38" s="58">
        <f>SUM(G27:G37)</f>
        <v/>
      </c>
      <c r="H38" s="58">
        <f>SUM(H27:H37)</f>
        <v/>
      </c>
      <c r="I38" s="70" t="n"/>
      <c r="J38" s="70" t="n"/>
      <c r="K38" s="71" t="n"/>
    </row>
    <row r="40" ht="24" customHeight="1" s="53">
      <c r="A40" s="3" t="inlineStr">
        <is>
          <t>3.0 COMMERCIAL PROGRAM EXECUTIVE SUMMARY &amp; BILLING TERMS</t>
        </is>
      </c>
    </row>
    <row r="41" ht="28" customHeight="1" s="53">
      <c r="A41" s="42" t="inlineStr">
        <is>
          <t>Program / Service Tier</t>
        </is>
      </c>
      <c r="B41" s="72" t="n"/>
      <c r="C41" s="73" t="n"/>
      <c r="D41" s="42" t="inlineStr">
        <is>
          <t>Operational Scope &amp; Methodology</t>
        </is>
      </c>
      <c r="E41" s="72" t="n"/>
      <c r="F41" s="73" t="n"/>
      <c r="G41" s="42" t="inlineStr">
        <is>
          <t>Unit Rate</t>
        </is>
      </c>
      <c r="H41" s="42" t="inlineStr">
        <is>
          <t>Investment Per Pass</t>
        </is>
      </c>
      <c r="I41" s="73" t="n"/>
      <c r="J41" s="42" t="inlineStr">
        <is>
          <t>Contract Billing Terms</t>
        </is>
      </c>
      <c r="K41" s="73" t="n"/>
    </row>
    <row r="42" ht="36" customHeight="1" s="53">
      <c r="A42" s="55" t="inlineStr">
        <is>
          <t>Program 1: Monthly Floor Care Schedule (Recommended Routine)</t>
        </is>
      </c>
      <c r="B42" s="72" t="n"/>
      <c r="C42" s="73" t="n"/>
      <c r="D42" s="60" t="inlineStr">
        <is>
          <t>Once-per-month comprehensive machine auto-scrub and polish across 11 buildings. Balances appearance and budget.</t>
        </is>
      </c>
      <c r="E42" s="72" t="n"/>
      <c r="F42" s="73" t="n"/>
      <c r="G42" s="17" t="inlineStr">
        <is>
          <t>$0.24 / SF</t>
        </is>
      </c>
      <c r="H42" s="64" t="inlineStr">
        <is>
          <t>$5,184.00 / pass</t>
        </is>
      </c>
      <c r="I42" s="73" t="n"/>
      <c r="J42" s="65" t="inlineStr">
        <is>
          <t>$5,184.00 / month (11 runs)</t>
        </is>
      </c>
      <c r="K42" s="73" t="n"/>
    </row>
    <row r="43" ht="36" customHeight="1" s="53">
      <c r="A43" s="57" t="inlineStr">
        <is>
          <t>Program 2: Quarterly Seasonal Deep Scrub</t>
        </is>
      </c>
      <c r="B43" s="72" t="n"/>
      <c r="C43" s="73" t="n"/>
      <c r="D43" s="54" t="inlineStr">
        <is>
          <t>Once every 3 months rotary machine agitation, soil extraction, and polymer refresh to reset 90 days of seasonal dirt.</t>
        </is>
      </c>
      <c r="E43" s="72" t="n"/>
      <c r="F43" s="73" t="n"/>
      <c r="G43" s="19" t="inlineStr">
        <is>
          <t>$0.32 / SF</t>
        </is>
      </c>
      <c r="H43" s="49" t="inlineStr">
        <is>
          <t>$6,912.00 / pass</t>
        </is>
      </c>
      <c r="I43" s="73" t="n"/>
      <c r="J43" s="59" t="inlineStr">
        <is>
          <t>$6,912.00 / qtr ($2,304/mo)</t>
        </is>
      </c>
      <c r="K43" s="73" t="n"/>
    </row>
    <row r="44" ht="36" customHeight="1" s="53">
      <c r="A44" s="48" t="inlineStr">
        <is>
          <t>Program 3: Every Six Months Deep Soil Extraction</t>
        </is>
      </c>
      <c r="B44" s="72" t="n"/>
      <c r="C44" s="73" t="n"/>
      <c r="D44" s="62" t="inlineStr">
        <is>
          <t>Twice-per-year heavy-duty commercial soil extraction, grout line recovery, and high-traction conditioning.</t>
        </is>
      </c>
      <c r="E44" s="72" t="n"/>
      <c r="F44" s="73" t="n"/>
      <c r="G44" s="21" t="inlineStr">
        <is>
          <t>$0.38 / SF</t>
        </is>
      </c>
      <c r="H44" s="51" t="inlineStr">
        <is>
          <t>$8,208.00 / pass</t>
        </is>
      </c>
      <c r="I44" s="73" t="n"/>
      <c r="J44" s="44" t="inlineStr">
        <is>
          <t>$8,208.00 / 6 mo ($1,368/mo)</t>
        </is>
      </c>
      <c r="K44" s="73" t="n"/>
    </row>
    <row r="45" ht="36" customHeight="1" s="53">
      <c r="A45" s="57" t="inlineStr">
        <is>
          <t>Add-On Option A: Penetrating Sealer Protection</t>
        </is>
      </c>
      <c r="B45" s="72" t="n"/>
      <c r="C45" s="73" t="n"/>
      <c r="D45" s="54" t="inlineStr">
        <is>
          <t>LATICRETE® STONETECH® BulletProof® sub-surface fluorochemical barrier deep in stone &amp; grout lines.</t>
        </is>
      </c>
      <c r="E45" s="72" t="n"/>
      <c r="F45" s="73" t="n"/>
      <c r="G45" s="19" t="inlineStr">
        <is>
          <t>$0.18 / SF</t>
        </is>
      </c>
      <c r="H45" s="49" t="inlineStr">
        <is>
          <t>$3,888.00 complete</t>
        </is>
      </c>
      <c r="I45" s="73" t="n"/>
      <c r="J45" s="59" t="inlineStr">
        <is>
          <t>Annual Service (12-24 mo)</t>
        </is>
      </c>
      <c r="K45" s="73" t="n"/>
    </row>
    <row r="46" ht="36" customHeight="1" s="53">
      <c r="A46" s="48" t="inlineStr">
        <is>
          <t>Add-On Option B: Staircase Care Package</t>
        </is>
      </c>
      <c r="B46" s="72" t="n"/>
      <c r="C46" s="73" t="n"/>
      <c r="D46" s="62" t="inlineStr">
        <is>
          <t>Handheld orbital step scrubbers, riser wipe, brass nosing polish on all open lobby stairs.</t>
        </is>
      </c>
      <c r="E46" s="72" t="n"/>
      <c r="F46" s="73" t="n"/>
      <c r="G46" s="21" t="inlineStr">
        <is>
          <t>Portfolio Flat</t>
        </is>
      </c>
      <c r="H46" s="51" t="inlineStr">
        <is>
          <t>+$250.00 / pass</t>
        </is>
      </c>
      <c r="I46" s="73" t="n"/>
      <c r="J46" s="44" t="inlineStr">
        <is>
          <t>Optional per visit</t>
        </is>
      </c>
      <c r="K46" s="73" t="n"/>
    </row>
    <row r="47" ht="36" customHeight="1" s="53">
      <c r="A47" s="57" t="inlineStr">
        <is>
          <t>Add-On Option C: Capital Diamond Restoration</t>
        </is>
      </c>
      <c r="B47" s="72" t="n"/>
      <c r="C47" s="73" t="n"/>
      <c r="D47" s="54" t="inlineStr">
        <is>
          <t>Multi-stage diamond grinding (400-3000 grit) to remove heavy traffic patterns and scratches.</t>
        </is>
      </c>
      <c r="E47" s="72" t="n"/>
      <c r="F47" s="73" t="n"/>
      <c r="G47" s="19" t="inlineStr">
        <is>
          <t>$1.85 / SF</t>
        </is>
      </c>
      <c r="H47" s="49" t="inlineStr">
        <is>
          <t>$39,960.00 complete</t>
        </is>
      </c>
      <c r="I47" s="73" t="n"/>
      <c r="J47" s="59" t="inlineStr">
        <is>
          <t>One-Time Capital Project</t>
        </is>
      </c>
      <c r="K47" s="73" t="n"/>
    </row>
  </sheetData>
  <mergeCells count="46">
    <mergeCell ref="A23:D23"/>
    <mergeCell ref="H28:K28"/>
    <mergeCell ref="A41:C41"/>
    <mergeCell ref="J44:K44"/>
    <mergeCell ref="H27:K27"/>
    <mergeCell ref="A46:C46"/>
    <mergeCell ref="D41:F41"/>
    <mergeCell ref="H43:I43"/>
    <mergeCell ref="A38:D38"/>
    <mergeCell ref="H41:I41"/>
    <mergeCell ref="H44:I44"/>
    <mergeCell ref="H33:K33"/>
    <mergeCell ref="A1:K1"/>
    <mergeCell ref="D47:F47"/>
    <mergeCell ref="D43:F43"/>
    <mergeCell ref="A42:C42"/>
    <mergeCell ref="A47:C47"/>
    <mergeCell ref="H30:K30"/>
    <mergeCell ref="H26:K26"/>
    <mergeCell ref="H46:I46"/>
    <mergeCell ref="H35:K35"/>
    <mergeCell ref="H38:K38"/>
    <mergeCell ref="H29:K29"/>
    <mergeCell ref="J45:K45"/>
    <mergeCell ref="A43:C43"/>
    <mergeCell ref="D42:F42"/>
    <mergeCell ref="A44:C44"/>
    <mergeCell ref="H31:K31"/>
    <mergeCell ref="H45:I45"/>
    <mergeCell ref="H34:K34"/>
    <mergeCell ref="A2:K2"/>
    <mergeCell ref="J41:K41"/>
    <mergeCell ref="D44:F44"/>
    <mergeCell ref="H47:I47"/>
    <mergeCell ref="J47:K47"/>
    <mergeCell ref="A8:K8"/>
    <mergeCell ref="H36:K36"/>
    <mergeCell ref="J43:K43"/>
    <mergeCell ref="A45:C45"/>
    <mergeCell ref="J46:K46"/>
    <mergeCell ref="H42:I42"/>
    <mergeCell ref="D46:F46"/>
    <mergeCell ref="J42:K42"/>
    <mergeCell ref="H32:K32"/>
    <mergeCell ref="D45:F45"/>
    <mergeCell ref="H37:K37"/>
  </mergeCells>
  <pageMargins left="0.25" right="0.25" top="0.25" bottom="0.5" header="0.3" footer="0.3"/>
  <pageSetup orientation="landscape" scale="76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K21"/>
  <sheetViews>
    <sheetView workbookViewId="0">
      <selection activeCell="A1" sqref="A1:AH1"/>
    </sheetView>
  </sheetViews>
  <sheetFormatPr baseColWidth="8" defaultRowHeight="14.5"/>
  <cols>
    <col width="6" customWidth="1" style="53" min="1" max="1"/>
    <col width="24" customWidth="1" style="53" min="2" max="2"/>
    <col width="22" customWidth="1" style="53" min="3" max="3"/>
    <col width="14" customWidth="1" style="53" min="4" max="4"/>
    <col width="24" customWidth="1" style="53" min="5" max="5"/>
    <col width="14" customWidth="1" style="53" min="6" max="6"/>
    <col width="16" customWidth="1" style="53" min="7" max="7"/>
    <col width="5" customWidth="1" style="53" min="8" max="37"/>
  </cols>
  <sheetData>
    <row r="1" ht="28" customHeight="1" s="53">
      <c r="A1" s="52" t="inlineStr">
        <is>
          <t>HWB CLEANING SERVICES LLC | OPERATIONAL DISPATCH GANTT SCHEDULE</t>
        </is>
      </c>
    </row>
    <row r="2" ht="18" customHeight="1" s="53">
      <c r="A2" s="61" t="inlineStr">
        <is>
          <t>DOWNTOWN FORT WORTH 11-BUILDING PORTFOLIO — MONTHLY OPERATIONAL NIGHT ROTATION</t>
        </is>
      </c>
    </row>
    <row r="4" ht="16" customHeight="1" s="53">
      <c r="A4" s="1" t="inlineStr">
        <is>
          <t>Base Dispatch Origin:</t>
        </is>
      </c>
      <c r="B4" s="2" t="inlineStr">
        <is>
          <t>McKinney, TX (Collin County Hub)</t>
        </is>
      </c>
      <c r="E4" s="1" t="inlineStr">
        <is>
          <t>Target Shift Window:</t>
        </is>
      </c>
      <c r="F4" s="2" t="inlineStr">
        <is>
          <t>Night Shift (6:00 PM – 2:00 AM)</t>
        </is>
      </c>
    </row>
    <row r="5" ht="16" customHeight="1" s="53">
      <c r="A5" s="1" t="inlineStr">
        <is>
          <t>Monthly Schedule:</t>
        </is>
      </c>
      <c r="B5" s="2" t="inlineStr">
        <is>
          <t>Monthly Routine (11 Total Dispatches)</t>
        </is>
      </c>
      <c r="E5" s="1" t="inlineStr">
        <is>
          <t>Assigned Crew Unit:</t>
        </is>
      </c>
      <c r="F5" s="2" t="inlineStr">
        <is>
          <t>2-Tech Mobile Unit (Lead Tech + Assistant)</t>
        </is>
      </c>
    </row>
    <row r="6" ht="16" customHeight="1" s="53">
      <c r="A6" s="1" t="inlineStr">
        <is>
          <t>Monthly Contract Total:</t>
        </is>
      </c>
      <c r="B6" s="2" t="inlineStr">
        <is>
          <t>$5,184.00 (11 Runs / Mo)</t>
        </is>
      </c>
      <c r="E6" s="1" t="inlineStr">
        <is>
          <t>Quarterly Total:</t>
        </is>
      </c>
      <c r="F6" s="2" t="inlineStr">
        <is>
          <t>$6,912.00 (Every 3 Mo)</t>
        </is>
      </c>
    </row>
    <row r="8" ht="18" customHeight="1" s="53">
      <c r="A8" s="66" t="inlineStr">
        <is>
          <t>Item</t>
        </is>
      </c>
      <c r="B8" s="66" t="inlineStr">
        <is>
          <t>Building Name</t>
        </is>
      </c>
      <c r="C8" s="66" t="inlineStr">
        <is>
          <t>Address</t>
        </is>
      </c>
      <c r="D8" s="66" t="inlineStr">
        <is>
          <t>Cleanable SF</t>
        </is>
      </c>
      <c r="E8" s="66" t="inlineStr">
        <is>
          <t>Service Window</t>
        </is>
      </c>
      <c r="F8" s="66" t="inlineStr">
        <is>
          <t>Crew Time</t>
        </is>
      </c>
      <c r="G8" s="66" t="inlineStr">
        <is>
          <t>Monthly Rate</t>
        </is>
      </c>
      <c r="H8" s="23" t="inlineStr">
        <is>
          <t>D1</t>
        </is>
      </c>
      <c r="I8" s="23" t="inlineStr">
        <is>
          <t>D2</t>
        </is>
      </c>
      <c r="J8" s="23" t="inlineStr">
        <is>
          <t>D3</t>
        </is>
      </c>
      <c r="K8" s="23" t="inlineStr">
        <is>
          <t>D4</t>
        </is>
      </c>
      <c r="L8" s="24" t="inlineStr">
        <is>
          <t>D5</t>
        </is>
      </c>
      <c r="M8" s="24" t="inlineStr">
        <is>
          <t>D6</t>
        </is>
      </c>
      <c r="N8" s="23" t="inlineStr">
        <is>
          <t>D7</t>
        </is>
      </c>
      <c r="O8" s="23" t="inlineStr">
        <is>
          <t>D8</t>
        </is>
      </c>
      <c r="P8" s="23" t="inlineStr">
        <is>
          <t>D9</t>
        </is>
      </c>
      <c r="Q8" s="23" t="inlineStr">
        <is>
          <t>D10</t>
        </is>
      </c>
      <c r="R8" s="23" t="inlineStr">
        <is>
          <t>D11</t>
        </is>
      </c>
      <c r="S8" s="24" t="inlineStr">
        <is>
          <t>D12</t>
        </is>
      </c>
      <c r="T8" s="24" t="inlineStr">
        <is>
          <t>D13</t>
        </is>
      </c>
      <c r="U8" s="23" t="inlineStr">
        <is>
          <t>D14</t>
        </is>
      </c>
      <c r="V8" s="23" t="inlineStr">
        <is>
          <t>D15</t>
        </is>
      </c>
      <c r="W8" s="23" t="inlineStr">
        <is>
          <t>D16</t>
        </is>
      </c>
      <c r="X8" s="23" t="inlineStr">
        <is>
          <t>D17</t>
        </is>
      </c>
      <c r="Y8" s="23" t="inlineStr">
        <is>
          <t>D18</t>
        </is>
      </c>
      <c r="Z8" s="24" t="inlineStr">
        <is>
          <t>D19</t>
        </is>
      </c>
      <c r="AA8" s="24" t="inlineStr">
        <is>
          <t>D20</t>
        </is>
      </c>
      <c r="AB8" s="23" t="inlineStr">
        <is>
          <t>D21</t>
        </is>
      </c>
      <c r="AC8" s="23" t="inlineStr">
        <is>
          <t>D22</t>
        </is>
      </c>
      <c r="AD8" s="23" t="inlineStr">
        <is>
          <t>D23</t>
        </is>
      </c>
      <c r="AE8" s="23" t="inlineStr">
        <is>
          <t>D24</t>
        </is>
      </c>
      <c r="AF8" s="23" t="inlineStr">
        <is>
          <t>D25</t>
        </is>
      </c>
      <c r="AG8" s="24" t="inlineStr">
        <is>
          <t>D26</t>
        </is>
      </c>
      <c r="AH8" s="24" t="inlineStr">
        <is>
          <t>D27</t>
        </is>
      </c>
      <c r="AI8" s="23" t="inlineStr">
        <is>
          <t>D28</t>
        </is>
      </c>
      <c r="AJ8" s="23" t="inlineStr">
        <is>
          <t>D29</t>
        </is>
      </c>
      <c r="AK8" s="23" t="inlineStr">
        <is>
          <t>D30</t>
        </is>
      </c>
    </row>
    <row r="9" ht="18" customHeight="1" s="53">
      <c r="A9" s="74" t="n"/>
      <c r="B9" s="74" t="n"/>
      <c r="C9" s="74" t="n"/>
      <c r="D9" s="74" t="n"/>
      <c r="E9" s="74" t="n"/>
      <c r="F9" s="74" t="n"/>
      <c r="G9" s="74" t="n"/>
      <c r="H9" s="25" t="inlineStr">
        <is>
          <t>Tu</t>
        </is>
      </c>
      <c r="I9" s="25" t="inlineStr">
        <is>
          <t>We</t>
        </is>
      </c>
      <c r="J9" s="25" t="inlineStr">
        <is>
          <t>Th</t>
        </is>
      </c>
      <c r="K9" s="25" t="inlineStr">
        <is>
          <t>Fr</t>
        </is>
      </c>
      <c r="L9" s="26" t="inlineStr">
        <is>
          <t>Sa</t>
        </is>
      </c>
      <c r="M9" s="26" t="inlineStr">
        <is>
          <t>Su</t>
        </is>
      </c>
      <c r="N9" s="25" t="inlineStr">
        <is>
          <t>Mo</t>
        </is>
      </c>
      <c r="O9" s="25" t="inlineStr">
        <is>
          <t>Tu</t>
        </is>
      </c>
      <c r="P9" s="25" t="inlineStr">
        <is>
          <t>We</t>
        </is>
      </c>
      <c r="Q9" s="25" t="inlineStr">
        <is>
          <t>Th</t>
        </is>
      </c>
      <c r="R9" s="25" t="inlineStr">
        <is>
          <t>Fr</t>
        </is>
      </c>
      <c r="S9" s="26" t="inlineStr">
        <is>
          <t>Sa</t>
        </is>
      </c>
      <c r="T9" s="26" t="inlineStr">
        <is>
          <t>Su</t>
        </is>
      </c>
      <c r="U9" s="25" t="inlineStr">
        <is>
          <t>Mo</t>
        </is>
      </c>
      <c r="V9" s="25" t="inlineStr">
        <is>
          <t>Tu</t>
        </is>
      </c>
      <c r="W9" s="25" t="inlineStr">
        <is>
          <t>We</t>
        </is>
      </c>
      <c r="X9" s="25" t="inlineStr">
        <is>
          <t>Th</t>
        </is>
      </c>
      <c r="Y9" s="25" t="inlineStr">
        <is>
          <t>Fr</t>
        </is>
      </c>
      <c r="Z9" s="26" t="inlineStr">
        <is>
          <t>Sa</t>
        </is>
      </c>
      <c r="AA9" s="26" t="inlineStr">
        <is>
          <t>Su</t>
        </is>
      </c>
      <c r="AB9" s="25" t="inlineStr">
        <is>
          <t>Mo</t>
        </is>
      </c>
      <c r="AC9" s="25" t="inlineStr">
        <is>
          <t>Tu</t>
        </is>
      </c>
      <c r="AD9" s="25" t="inlineStr">
        <is>
          <t>We</t>
        </is>
      </c>
      <c r="AE9" s="25" t="inlineStr">
        <is>
          <t>Th</t>
        </is>
      </c>
      <c r="AF9" s="25" t="inlineStr">
        <is>
          <t>Fr</t>
        </is>
      </c>
      <c r="AG9" s="26" t="inlineStr">
        <is>
          <t>Sa</t>
        </is>
      </c>
      <c r="AH9" s="26" t="inlineStr">
        <is>
          <t>Su</t>
        </is>
      </c>
      <c r="AI9" s="25" t="inlineStr">
        <is>
          <t>Mo</t>
        </is>
      </c>
      <c r="AJ9" s="25" t="inlineStr">
        <is>
          <t>Tu</t>
        </is>
      </c>
      <c r="AK9" s="25" t="inlineStr">
        <is>
          <t>We</t>
        </is>
      </c>
    </row>
    <row r="10" ht="18" customHeight="1" s="53">
      <c r="A10" s="5" t="n">
        <v>1</v>
      </c>
      <c r="B10" s="27" t="inlineStr">
        <is>
          <t>The Westbrook</t>
        </is>
      </c>
      <c r="C10" s="6" t="inlineStr">
        <is>
          <t>425 Houston St</t>
        </is>
      </c>
      <c r="D10" s="7" t="n">
        <v>2100</v>
      </c>
      <c r="E10" s="6" t="inlineStr">
        <is>
          <t>1st Monday (Night)</t>
        </is>
      </c>
      <c r="F10" s="5" t="inlineStr">
        <is>
          <t>4.0 hrs</t>
        </is>
      </c>
      <c r="G10" s="28" t="n">
        <v>504</v>
      </c>
      <c r="H10" s="50" t="n"/>
      <c r="I10" s="50" t="n"/>
      <c r="J10" s="50" t="n"/>
      <c r="K10" s="50" t="n"/>
      <c r="L10" s="45" t="n"/>
      <c r="M10" s="45" t="n"/>
      <c r="N10" s="26" t="inlineStr">
        <is>
          <t>NIGHT</t>
        </is>
      </c>
      <c r="O10" s="50" t="n"/>
      <c r="P10" s="50" t="n"/>
      <c r="Q10" s="50" t="n"/>
      <c r="R10" s="50" t="n"/>
      <c r="S10" s="45" t="n"/>
      <c r="T10" s="45" t="n"/>
      <c r="U10" s="50" t="n"/>
      <c r="V10" s="50" t="n"/>
      <c r="W10" s="50" t="n"/>
      <c r="X10" s="50" t="n"/>
      <c r="Y10" s="50" t="n"/>
      <c r="Z10" s="45" t="n"/>
      <c r="AA10" s="45" t="n"/>
      <c r="AB10" s="50" t="n"/>
      <c r="AC10" s="50" t="n"/>
      <c r="AD10" s="50" t="n"/>
      <c r="AE10" s="50" t="n"/>
      <c r="AF10" s="50" t="n"/>
      <c r="AG10" s="45" t="n"/>
      <c r="AH10" s="45" t="n"/>
      <c r="AI10" s="50" t="n"/>
      <c r="AJ10" s="50" t="n"/>
      <c r="AK10" s="50" t="n"/>
    </row>
    <row r="11" ht="18" customHeight="1" s="53">
      <c r="A11" s="9" t="n">
        <v>2</v>
      </c>
      <c r="B11" s="29" t="inlineStr">
        <is>
          <t>Chase Bank Building</t>
        </is>
      </c>
      <c r="C11" s="10" t="inlineStr">
        <is>
          <t>420 Throckmorton St</t>
        </is>
      </c>
      <c r="D11" s="11" t="n">
        <v>2800</v>
      </c>
      <c r="E11" s="10" t="inlineStr">
        <is>
          <t>1st Tuesday (Night)</t>
        </is>
      </c>
      <c r="F11" s="9" t="inlineStr">
        <is>
          <t>4.5 hrs</t>
        </is>
      </c>
      <c r="G11" s="30" t="n">
        <v>672</v>
      </c>
      <c r="H11" s="26" t="inlineStr">
        <is>
          <t>NIGHT</t>
        </is>
      </c>
      <c r="I11" s="50" t="n"/>
      <c r="J11" s="50" t="n"/>
      <c r="K11" s="50" t="n"/>
      <c r="L11" s="45" t="n"/>
      <c r="M11" s="45" t="n"/>
      <c r="N11" s="50" t="n"/>
      <c r="O11" s="50" t="n"/>
      <c r="P11" s="50" t="n"/>
      <c r="Q11" s="50" t="n"/>
      <c r="R11" s="50" t="n"/>
      <c r="S11" s="45" t="n"/>
      <c r="T11" s="45" t="n"/>
      <c r="U11" s="50" t="n"/>
      <c r="V11" s="50" t="n"/>
      <c r="W11" s="50" t="n"/>
      <c r="X11" s="50" t="n"/>
      <c r="Y11" s="50" t="n"/>
      <c r="Z11" s="45" t="n"/>
      <c r="AA11" s="45" t="n"/>
      <c r="AB11" s="50" t="n"/>
      <c r="AC11" s="50" t="n"/>
      <c r="AD11" s="50" t="n"/>
      <c r="AE11" s="50" t="n"/>
      <c r="AF11" s="50" t="n"/>
      <c r="AG11" s="45" t="n"/>
      <c r="AH11" s="45" t="n"/>
      <c r="AI11" s="50" t="n"/>
      <c r="AJ11" s="50" t="n"/>
      <c r="AK11" s="50" t="n"/>
    </row>
    <row r="12" ht="18" customHeight="1" s="53">
      <c r="A12" s="5" t="n">
        <v>3</v>
      </c>
      <c r="B12" s="27" t="inlineStr">
        <is>
          <t>The Commerce Building</t>
        </is>
      </c>
      <c r="C12" s="6" t="inlineStr">
        <is>
          <t>420 Commerce St</t>
        </is>
      </c>
      <c r="D12" s="7" t="n">
        <v>2000</v>
      </c>
      <c r="E12" s="6" t="inlineStr">
        <is>
          <t>1st Wednesday (Night)</t>
        </is>
      </c>
      <c r="F12" s="5" t="inlineStr">
        <is>
          <t>4.0 hrs</t>
        </is>
      </c>
      <c r="G12" s="28" t="n">
        <v>480</v>
      </c>
      <c r="H12" s="50" t="n"/>
      <c r="I12" s="26" t="inlineStr">
        <is>
          <t>NIGHT</t>
        </is>
      </c>
      <c r="J12" s="50" t="n"/>
      <c r="K12" s="50" t="n"/>
      <c r="L12" s="45" t="n"/>
      <c r="M12" s="45" t="n"/>
      <c r="N12" s="50" t="n"/>
      <c r="O12" s="50" t="n"/>
      <c r="P12" s="50" t="n"/>
      <c r="Q12" s="50" t="n"/>
      <c r="R12" s="50" t="n"/>
      <c r="S12" s="45" t="n"/>
      <c r="T12" s="45" t="n"/>
      <c r="U12" s="50" t="n"/>
      <c r="V12" s="50" t="n"/>
      <c r="W12" s="50" t="n"/>
      <c r="X12" s="50" t="n"/>
      <c r="Y12" s="50" t="n"/>
      <c r="Z12" s="45" t="n"/>
      <c r="AA12" s="45" t="n"/>
      <c r="AB12" s="50" t="n"/>
      <c r="AC12" s="50" t="n"/>
      <c r="AD12" s="50" t="n"/>
      <c r="AE12" s="50" t="n"/>
      <c r="AF12" s="50" t="n"/>
      <c r="AG12" s="45" t="n"/>
      <c r="AH12" s="45" t="n"/>
      <c r="AI12" s="50" t="n"/>
      <c r="AJ12" s="50" t="n"/>
      <c r="AK12" s="50" t="n"/>
    </row>
    <row r="13" ht="18" customHeight="1" s="53">
      <c r="A13" s="9" t="n">
        <v>4</v>
      </c>
      <c r="B13" s="29" t="inlineStr">
        <is>
          <t>Virtuoso Building</t>
        </is>
      </c>
      <c r="C13" s="10" t="inlineStr">
        <is>
          <t>505 Main St</t>
        </is>
      </c>
      <c r="D13" s="11" t="n">
        <v>1200</v>
      </c>
      <c r="E13" s="10" t="inlineStr">
        <is>
          <t>1st Thursday (Night)</t>
        </is>
      </c>
      <c r="F13" s="9" t="inlineStr">
        <is>
          <t>3.7 hrs</t>
        </is>
      </c>
      <c r="G13" s="30" t="n">
        <v>288</v>
      </c>
      <c r="H13" s="50" t="n"/>
      <c r="I13" s="50" t="n"/>
      <c r="J13" s="26" t="inlineStr">
        <is>
          <t>NIGHT</t>
        </is>
      </c>
      <c r="K13" s="50" t="n"/>
      <c r="L13" s="45" t="n"/>
      <c r="M13" s="45" t="n"/>
      <c r="N13" s="50" t="n"/>
      <c r="O13" s="50" t="n"/>
      <c r="P13" s="50" t="n"/>
      <c r="Q13" s="50" t="n"/>
      <c r="R13" s="50" t="n"/>
      <c r="S13" s="45" t="n"/>
      <c r="T13" s="45" t="n"/>
      <c r="U13" s="50" t="n"/>
      <c r="V13" s="50" t="n"/>
      <c r="W13" s="50" t="n"/>
      <c r="X13" s="50" t="n"/>
      <c r="Y13" s="50" t="n"/>
      <c r="Z13" s="45" t="n"/>
      <c r="AA13" s="45" t="n"/>
      <c r="AB13" s="50" t="n"/>
      <c r="AC13" s="50" t="n"/>
      <c r="AD13" s="50" t="n"/>
      <c r="AE13" s="50" t="n"/>
      <c r="AF13" s="50" t="n"/>
      <c r="AG13" s="45" t="n"/>
      <c r="AH13" s="45" t="n"/>
      <c r="AI13" s="50" t="n"/>
      <c r="AJ13" s="50" t="n"/>
      <c r="AK13" s="50" t="n"/>
    </row>
    <row r="14" ht="18" customHeight="1" s="53">
      <c r="A14" s="5" t="n">
        <v>5</v>
      </c>
      <c r="B14" s="27" t="inlineStr">
        <is>
          <t>Knights of Pythias Hall</t>
        </is>
      </c>
      <c r="C14" s="6" t="inlineStr">
        <is>
          <t>109-110 E 3rd St</t>
        </is>
      </c>
      <c r="D14" s="7" t="n">
        <v>900</v>
      </c>
      <c r="E14" s="6" t="inlineStr">
        <is>
          <t>1st Friday (Night)</t>
        </is>
      </c>
      <c r="F14" s="5" t="inlineStr">
        <is>
          <t>3.5 hrs</t>
        </is>
      </c>
      <c r="G14" s="28" t="n">
        <v>216</v>
      </c>
      <c r="H14" s="50" t="n"/>
      <c r="I14" s="50" t="n"/>
      <c r="J14" s="50" t="n"/>
      <c r="K14" s="26" t="inlineStr">
        <is>
          <t>NIGHT</t>
        </is>
      </c>
      <c r="L14" s="45" t="n"/>
      <c r="M14" s="45" t="n"/>
      <c r="N14" s="50" t="n"/>
      <c r="O14" s="50" t="n"/>
      <c r="P14" s="50" t="n"/>
      <c r="Q14" s="50" t="n"/>
      <c r="R14" s="50" t="n"/>
      <c r="S14" s="45" t="n"/>
      <c r="T14" s="45" t="n"/>
      <c r="U14" s="50" t="n"/>
      <c r="V14" s="50" t="n"/>
      <c r="W14" s="50" t="n"/>
      <c r="X14" s="50" t="n"/>
      <c r="Y14" s="50" t="n"/>
      <c r="Z14" s="45" t="n"/>
      <c r="AA14" s="45" t="n"/>
      <c r="AB14" s="50" t="n"/>
      <c r="AC14" s="50" t="n"/>
      <c r="AD14" s="50" t="n"/>
      <c r="AE14" s="50" t="n"/>
      <c r="AF14" s="50" t="n"/>
      <c r="AG14" s="45" t="n"/>
      <c r="AH14" s="45" t="n"/>
      <c r="AI14" s="50" t="n"/>
      <c r="AJ14" s="50" t="n"/>
      <c r="AK14" s="50" t="n"/>
    </row>
    <row r="15" ht="18" customHeight="1" s="53">
      <c r="A15" s="9" t="n">
        <v>6</v>
      </c>
      <c r="B15" s="29" t="inlineStr">
        <is>
          <t>Burk Burnett Building</t>
        </is>
      </c>
      <c r="C15" s="10" t="inlineStr">
        <is>
          <t>500 Main St</t>
        </is>
      </c>
      <c r="D15" s="11" t="n">
        <v>2400</v>
      </c>
      <c r="E15" s="10" t="inlineStr">
        <is>
          <t>2nd Monday (Night)</t>
        </is>
      </c>
      <c r="F15" s="9" t="inlineStr">
        <is>
          <t>4.3 hrs</t>
        </is>
      </c>
      <c r="G15" s="30" t="n">
        <v>576</v>
      </c>
      <c r="H15" s="50" t="n"/>
      <c r="I15" s="50" t="n"/>
      <c r="J15" s="50" t="n"/>
      <c r="K15" s="50" t="n"/>
      <c r="L15" s="45" t="n"/>
      <c r="M15" s="45" t="n"/>
      <c r="N15" s="50" t="n"/>
      <c r="O15" s="50" t="n"/>
      <c r="P15" s="50" t="n"/>
      <c r="Q15" s="50" t="n"/>
      <c r="R15" s="50" t="n"/>
      <c r="S15" s="45" t="n"/>
      <c r="T15" s="45" t="n"/>
      <c r="U15" s="26" t="inlineStr">
        <is>
          <t>NIGHT</t>
        </is>
      </c>
      <c r="V15" s="50" t="n"/>
      <c r="W15" s="50" t="n"/>
      <c r="X15" s="50" t="n"/>
      <c r="Y15" s="50" t="n"/>
      <c r="Z15" s="45" t="n"/>
      <c r="AA15" s="45" t="n"/>
      <c r="AB15" s="50" t="n"/>
      <c r="AC15" s="50" t="n"/>
      <c r="AD15" s="50" t="n"/>
      <c r="AE15" s="50" t="n"/>
      <c r="AF15" s="50" t="n"/>
      <c r="AG15" s="45" t="n"/>
      <c r="AH15" s="45" t="n"/>
      <c r="AI15" s="50" t="n"/>
      <c r="AJ15" s="50" t="n"/>
      <c r="AK15" s="50" t="n"/>
    </row>
    <row r="16" ht="18" customHeight="1" s="53">
      <c r="A16" s="5" t="n">
        <v>7</v>
      </c>
      <c r="B16" s="27" t="inlineStr">
        <is>
          <t>The Carnegie</t>
        </is>
      </c>
      <c r="C16" s="6" t="inlineStr">
        <is>
          <t>421 W 3rd St</t>
        </is>
      </c>
      <c r="D16" s="7" t="n">
        <v>3600</v>
      </c>
      <c r="E16" s="6" t="inlineStr">
        <is>
          <t>2nd Tuesday (Night)</t>
        </is>
      </c>
      <c r="F16" s="5" t="inlineStr">
        <is>
          <t>5.0 hrs</t>
        </is>
      </c>
      <c r="G16" s="28" t="n">
        <v>864</v>
      </c>
      <c r="H16" s="50" t="n"/>
      <c r="I16" s="50" t="n"/>
      <c r="J16" s="50" t="n"/>
      <c r="K16" s="50" t="n"/>
      <c r="L16" s="45" t="n"/>
      <c r="M16" s="45" t="n"/>
      <c r="N16" s="50" t="n"/>
      <c r="O16" s="26" t="inlineStr">
        <is>
          <t>NIGHT</t>
        </is>
      </c>
      <c r="P16" s="50" t="n"/>
      <c r="Q16" s="50" t="n"/>
      <c r="R16" s="50" t="n"/>
      <c r="S16" s="45" t="n"/>
      <c r="T16" s="45" t="n"/>
      <c r="U16" s="50" t="n"/>
      <c r="V16" s="50" t="n"/>
      <c r="W16" s="50" t="n"/>
      <c r="X16" s="50" t="n"/>
      <c r="Y16" s="50" t="n"/>
      <c r="Z16" s="45" t="n"/>
      <c r="AA16" s="45" t="n"/>
      <c r="AB16" s="50" t="n"/>
      <c r="AC16" s="50" t="n"/>
      <c r="AD16" s="50" t="n"/>
      <c r="AE16" s="50" t="n"/>
      <c r="AF16" s="50" t="n"/>
      <c r="AG16" s="45" t="n"/>
      <c r="AH16" s="45" t="n"/>
      <c r="AI16" s="50" t="n"/>
      <c r="AJ16" s="50" t="n"/>
      <c r="AK16" s="50" t="n"/>
    </row>
    <row r="17" ht="18" customHeight="1" s="53">
      <c r="A17" s="9" t="n">
        <v>8</v>
      </c>
      <c r="B17" s="29" t="inlineStr">
        <is>
          <t>Petroleum Building</t>
        </is>
      </c>
      <c r="C17" s="10" t="inlineStr">
        <is>
          <t>210 W 6th St</t>
        </is>
      </c>
      <c r="D17" s="11" t="n">
        <v>2200</v>
      </c>
      <c r="E17" s="10" t="inlineStr">
        <is>
          <t>2nd Wednesday (Night)</t>
        </is>
      </c>
      <c r="F17" s="9" t="inlineStr">
        <is>
          <t>4.1 hrs</t>
        </is>
      </c>
      <c r="G17" s="30" t="n">
        <v>528</v>
      </c>
      <c r="H17" s="50" t="n"/>
      <c r="I17" s="50" t="n"/>
      <c r="J17" s="50" t="n"/>
      <c r="K17" s="50" t="n"/>
      <c r="L17" s="45" t="n"/>
      <c r="M17" s="45" t="n"/>
      <c r="N17" s="50" t="n"/>
      <c r="O17" s="50" t="n"/>
      <c r="P17" s="26" t="inlineStr">
        <is>
          <t>NIGHT</t>
        </is>
      </c>
      <c r="Q17" s="50" t="n"/>
      <c r="R17" s="50" t="n"/>
      <c r="S17" s="45" t="n"/>
      <c r="T17" s="45" t="n"/>
      <c r="U17" s="50" t="n"/>
      <c r="V17" s="50" t="n"/>
      <c r="W17" s="50" t="n"/>
      <c r="X17" s="50" t="n"/>
      <c r="Y17" s="50" t="n"/>
      <c r="Z17" s="45" t="n"/>
      <c r="AA17" s="45" t="n"/>
      <c r="AB17" s="50" t="n"/>
      <c r="AC17" s="50" t="n"/>
      <c r="AD17" s="50" t="n"/>
      <c r="AE17" s="50" t="n"/>
      <c r="AF17" s="50" t="n"/>
      <c r="AG17" s="45" t="n"/>
      <c r="AH17" s="45" t="n"/>
      <c r="AI17" s="50" t="n"/>
      <c r="AJ17" s="50" t="n"/>
      <c r="AK17" s="50" t="n"/>
    </row>
    <row r="18" ht="18" customHeight="1" s="53">
      <c r="A18" s="5" t="n">
        <v>9</v>
      </c>
      <c r="B18" s="27" t="inlineStr">
        <is>
          <t>Sanger Lofts</t>
        </is>
      </c>
      <c r="C18" s="6" t="inlineStr">
        <is>
          <t>222 W 4th St</t>
        </is>
      </c>
      <c r="D18" s="7" t="n">
        <v>1400</v>
      </c>
      <c r="E18" s="6" t="inlineStr">
        <is>
          <t>2nd Thursday (Night)</t>
        </is>
      </c>
      <c r="F18" s="5" t="inlineStr">
        <is>
          <t>3.8 hrs</t>
        </is>
      </c>
      <c r="G18" s="28" t="n">
        <v>336</v>
      </c>
      <c r="H18" s="50" t="n"/>
      <c r="I18" s="50" t="n"/>
      <c r="J18" s="50" t="n"/>
      <c r="K18" s="50" t="n"/>
      <c r="L18" s="45" t="n"/>
      <c r="M18" s="45" t="n"/>
      <c r="N18" s="50" t="n"/>
      <c r="O18" s="50" t="n"/>
      <c r="P18" s="50" t="n"/>
      <c r="Q18" s="26" t="inlineStr">
        <is>
          <t>NIGHT</t>
        </is>
      </c>
      <c r="R18" s="50" t="n"/>
      <c r="S18" s="45" t="n"/>
      <c r="T18" s="45" t="n"/>
      <c r="U18" s="50" t="n"/>
      <c r="V18" s="50" t="n"/>
      <c r="W18" s="50" t="n"/>
      <c r="X18" s="50" t="n"/>
      <c r="Y18" s="50" t="n"/>
      <c r="Z18" s="45" t="n"/>
      <c r="AA18" s="45" t="n"/>
      <c r="AB18" s="50" t="n"/>
      <c r="AC18" s="50" t="n"/>
      <c r="AD18" s="50" t="n"/>
      <c r="AE18" s="50" t="n"/>
      <c r="AF18" s="50" t="n"/>
      <c r="AG18" s="45" t="n"/>
      <c r="AH18" s="45" t="n"/>
      <c r="AI18" s="50" t="n"/>
      <c r="AJ18" s="50" t="n"/>
      <c r="AK18" s="50" t="n"/>
    </row>
    <row r="19" ht="18" customHeight="1" s="53">
      <c r="A19" s="9" t="n">
        <v>10</v>
      </c>
      <c r="B19" s="29" t="inlineStr">
        <is>
          <t>Plaza Hotel Building</t>
        </is>
      </c>
      <c r="C19" s="10" t="inlineStr">
        <is>
          <t>303 Main St</t>
        </is>
      </c>
      <c r="D19" s="11" t="n">
        <v>900</v>
      </c>
      <c r="E19" s="10" t="inlineStr">
        <is>
          <t>2nd Friday (Night)</t>
        </is>
      </c>
      <c r="F19" s="9" t="inlineStr">
        <is>
          <t>3.5 hrs</t>
        </is>
      </c>
      <c r="G19" s="30" t="n">
        <v>216</v>
      </c>
      <c r="H19" s="50" t="n"/>
      <c r="I19" s="50" t="n"/>
      <c r="J19" s="50" t="n"/>
      <c r="K19" s="50" t="n"/>
      <c r="L19" s="45" t="n"/>
      <c r="M19" s="45" t="n"/>
      <c r="N19" s="50" t="n"/>
      <c r="O19" s="50" t="n"/>
      <c r="P19" s="50" t="n"/>
      <c r="Q19" s="50" t="n"/>
      <c r="R19" s="26" t="inlineStr">
        <is>
          <t>NIGHT</t>
        </is>
      </c>
      <c r="S19" s="45" t="n"/>
      <c r="T19" s="45" t="n"/>
      <c r="U19" s="50" t="n"/>
      <c r="V19" s="50" t="n"/>
      <c r="W19" s="50" t="n"/>
      <c r="X19" s="50" t="n"/>
      <c r="Y19" s="50" t="n"/>
      <c r="Z19" s="45" t="n"/>
      <c r="AA19" s="45" t="n"/>
      <c r="AB19" s="50" t="n"/>
      <c r="AC19" s="50" t="n"/>
      <c r="AD19" s="50" t="n"/>
      <c r="AE19" s="50" t="n"/>
      <c r="AF19" s="50" t="n"/>
      <c r="AG19" s="45" t="n"/>
      <c r="AH19" s="45" t="n"/>
      <c r="AI19" s="50" t="n"/>
      <c r="AJ19" s="50" t="n"/>
      <c r="AK19" s="50" t="n"/>
    </row>
    <row r="20" ht="18" customHeight="1" s="53">
      <c r="A20" s="5" t="n">
        <v>11</v>
      </c>
      <c r="B20" s="27" t="inlineStr">
        <is>
          <t>The Cassidy</t>
        </is>
      </c>
      <c r="C20" s="6" t="inlineStr">
        <is>
          <t>407 Throckmorton St</t>
        </is>
      </c>
      <c r="D20" s="7" t="n">
        <v>2100</v>
      </c>
      <c r="E20" s="6" t="inlineStr">
        <is>
          <t>2nd Saturday (Night)</t>
        </is>
      </c>
      <c r="F20" s="5" t="inlineStr">
        <is>
          <t>4.0 hrs</t>
        </is>
      </c>
      <c r="G20" s="28" t="n">
        <v>504</v>
      </c>
      <c r="H20" s="50" t="n"/>
      <c r="I20" s="50" t="n"/>
      <c r="J20" s="50" t="n"/>
      <c r="K20" s="50" t="n"/>
      <c r="L20" s="45" t="n"/>
      <c r="M20" s="45" t="n"/>
      <c r="N20" s="50" t="n"/>
      <c r="O20" s="50" t="n"/>
      <c r="P20" s="50" t="n"/>
      <c r="Q20" s="50" t="n"/>
      <c r="R20" s="50" t="n"/>
      <c r="S20" s="26" t="inlineStr">
        <is>
          <t>NIGHT</t>
        </is>
      </c>
      <c r="T20" s="45" t="n"/>
      <c r="U20" s="50" t="n"/>
      <c r="V20" s="50" t="n"/>
      <c r="W20" s="50" t="n"/>
      <c r="X20" s="50" t="n"/>
      <c r="Y20" s="50" t="n"/>
      <c r="Z20" s="45" t="n"/>
      <c r="AA20" s="45" t="n"/>
      <c r="AB20" s="50" t="n"/>
      <c r="AC20" s="50" t="n"/>
      <c r="AD20" s="50" t="n"/>
      <c r="AE20" s="50" t="n"/>
      <c r="AF20" s="50" t="n"/>
      <c r="AG20" s="45" t="n"/>
      <c r="AH20" s="45" t="n"/>
      <c r="AI20" s="50" t="n"/>
      <c r="AJ20" s="50" t="n"/>
      <c r="AK20" s="50" t="n"/>
    </row>
    <row r="21" ht="20" customHeight="1" s="53">
      <c r="A21" s="38" t="inlineStr">
        <is>
          <t>TOTAL PORTFOLIO MONTHLY CONTRACT</t>
        </is>
      </c>
      <c r="B21" s="70" t="n"/>
      <c r="C21" s="71" t="n"/>
      <c r="D21" s="14">
        <f>SUM(D10:D20)</f>
        <v/>
      </c>
      <c r="E21" s="38" t="inlineStr">
        <is>
          <t>11 Night Runs / Mo</t>
        </is>
      </c>
      <c r="F21" s="38" t="inlineStr">
        <is>
          <t>44.1 hrs / pass</t>
        </is>
      </c>
      <c r="G21" s="58">
        <f>SUM(G10:G20)</f>
        <v/>
      </c>
      <c r="H21" s="31" t="n"/>
      <c r="I21" s="31" t="n"/>
      <c r="J21" s="31" t="n"/>
      <c r="K21" s="31" t="n"/>
      <c r="L21" s="31" t="n"/>
      <c r="M21" s="31" t="n"/>
      <c r="N21" s="31" t="n"/>
      <c r="O21" s="31" t="n"/>
      <c r="P21" s="31" t="n"/>
      <c r="Q21" s="31" t="n"/>
      <c r="R21" s="31" t="n"/>
      <c r="S21" s="31" t="n"/>
      <c r="T21" s="31" t="n"/>
      <c r="U21" s="31" t="n"/>
      <c r="V21" s="31" t="n"/>
      <c r="W21" s="31" t="n"/>
      <c r="X21" s="31" t="n"/>
      <c r="Y21" s="31" t="n"/>
      <c r="Z21" s="31" t="n"/>
      <c r="AA21" s="31" t="n"/>
      <c r="AB21" s="31" t="n"/>
      <c r="AC21" s="31" t="n"/>
      <c r="AD21" s="31" t="n"/>
      <c r="AE21" s="31" t="n"/>
      <c r="AF21" s="31" t="n"/>
      <c r="AG21" s="31" t="n"/>
      <c r="AH21" s="31" t="n"/>
      <c r="AI21" s="31" t="n"/>
      <c r="AJ21" s="31" t="n"/>
      <c r="AK21" s="31" t="n"/>
    </row>
  </sheetData>
  <mergeCells count="10">
    <mergeCell ref="A8:A9"/>
    <mergeCell ref="E8:E9"/>
    <mergeCell ref="C8:C9"/>
    <mergeCell ref="F8:F9"/>
    <mergeCell ref="A2:AH2"/>
    <mergeCell ref="G8:G9"/>
    <mergeCell ref="D8:D9"/>
    <mergeCell ref="B8:B9"/>
    <mergeCell ref="A1:AH1"/>
    <mergeCell ref="A21:C21"/>
  </mergeCells>
  <pageMargins left="0.5" right="0.5" top="0.75" bottom="0.75" header="0.5" footer="0.5"/>
  <pageSetup orientation="landscape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selection activeCell="A1" sqref="A1:K1"/>
    </sheetView>
  </sheetViews>
  <sheetFormatPr baseColWidth="8" defaultRowHeight="14.5"/>
  <cols>
    <col width="6" customWidth="1" style="53" min="1" max="1"/>
    <col width="24" customWidth="1" style="53" min="2" max="2"/>
    <col width="14" customWidth="1" style="53" min="3" max="3"/>
    <col width="18" customWidth="1" style="53" min="4" max="5"/>
    <col width="14" customWidth="1" style="53" min="6" max="6"/>
    <col width="22" customWidth="1" style="53" min="7" max="7"/>
    <col width="16" customWidth="1" style="53" min="8" max="8"/>
    <col width="18" customWidth="1" style="53" min="9" max="9"/>
    <col width="16" customWidth="1" style="53" min="10" max="11"/>
  </cols>
  <sheetData>
    <row r="1" ht="28" customHeight="1" s="53">
      <c r="A1" s="52" t="inlineStr">
        <is>
          <t>HWB CLEANING SERVICES LLC | INTERNAL OPERATIONAL UNDERWRITING AUDIT</t>
        </is>
      </c>
    </row>
    <row r="2" ht="18" customHeight="1" s="53">
      <c r="A2" s="61" t="inlineStr">
        <is>
          <t>DISPATCH BASIS: MCKINNEY, TX HUB — 124 MILES ROUND-TRIP — 2-PERSON SPECIALIZED CREW</t>
        </is>
      </c>
    </row>
    <row r="4" ht="24" customHeight="1" s="53">
      <c r="A4" s="66" t="inlineStr">
        <is>
          <t>Item</t>
        </is>
      </c>
      <c r="B4" s="66" t="inlineStr">
        <is>
          <t>Building Name</t>
        </is>
      </c>
      <c r="C4" s="66" t="inlineStr">
        <is>
          <t>Area (SF)</t>
        </is>
      </c>
      <c r="D4" s="66" t="inlineStr">
        <is>
          <t>Crew Hours (2 Techs)</t>
        </is>
      </c>
      <c r="E4" s="66" t="inlineStr">
        <is>
          <t>Labor Cost ($57.50/hr)</t>
        </is>
      </c>
      <c r="F4" s="66" t="inlineStr">
        <is>
          <t>Chemicals</t>
        </is>
      </c>
      <c r="G4" s="66" t="inlineStr">
        <is>
          <t>Transit &amp; Equip (124 mi)</t>
        </is>
      </c>
      <c r="H4" s="66" t="inlineStr">
        <is>
          <t>Misc &amp; Parking</t>
        </is>
      </c>
      <c r="I4" s="66" t="inlineStr">
        <is>
          <t>Total Direct Cost</t>
        </is>
      </c>
      <c r="J4" s="66" t="inlineStr">
        <is>
          <t>Quoted Price</t>
        </is>
      </c>
      <c r="K4" s="66" t="inlineStr">
        <is>
          <t>Gross Margin (%)</t>
        </is>
      </c>
    </row>
    <row r="5" ht="18" customHeight="1" s="53">
      <c r="A5" s="9" t="n">
        <v>1</v>
      </c>
      <c r="B5" s="29" t="inlineStr">
        <is>
          <t>The Westbrook</t>
        </is>
      </c>
      <c r="C5" s="11" t="n">
        <v>2100</v>
      </c>
      <c r="D5" s="32" t="n">
        <v>4</v>
      </c>
      <c r="E5" s="46">
        <f>D5*57.5</f>
        <v/>
      </c>
      <c r="F5" s="46" t="n">
        <v>6.5</v>
      </c>
      <c r="G5" s="46" t="n">
        <v>85</v>
      </c>
      <c r="H5" s="46" t="n">
        <v>45</v>
      </c>
      <c r="I5" s="30">
        <f>SUM(E5:H5)</f>
        <v/>
      </c>
      <c r="J5" s="30" t="n">
        <v>504</v>
      </c>
      <c r="K5" s="33">
        <f>(J5-I5)/J5</f>
        <v/>
      </c>
    </row>
    <row r="6" ht="18" customHeight="1" s="53">
      <c r="A6" s="5" t="n">
        <v>2</v>
      </c>
      <c r="B6" s="27" t="inlineStr">
        <is>
          <t>Chase Bank Building</t>
        </is>
      </c>
      <c r="C6" s="7" t="n">
        <v>2800</v>
      </c>
      <c r="D6" s="34" t="n">
        <v>4.5</v>
      </c>
      <c r="E6" s="40">
        <f>D6*57.5</f>
        <v/>
      </c>
      <c r="F6" s="40" t="n">
        <v>8.5</v>
      </c>
      <c r="G6" s="40" t="n">
        <v>90</v>
      </c>
      <c r="H6" s="40" t="n">
        <v>48</v>
      </c>
      <c r="I6" s="28">
        <f>SUM(E6:H6)</f>
        <v/>
      </c>
      <c r="J6" s="28" t="n">
        <v>672</v>
      </c>
      <c r="K6" s="35">
        <f>(J6-I6)/J6</f>
        <v/>
      </c>
    </row>
    <row r="7" ht="18" customHeight="1" s="53">
      <c r="A7" s="9" t="n">
        <v>3</v>
      </c>
      <c r="B7" s="29" t="inlineStr">
        <is>
          <t>The Commerce Building</t>
        </is>
      </c>
      <c r="C7" s="11" t="n">
        <v>2000</v>
      </c>
      <c r="D7" s="32" t="n">
        <v>3.95</v>
      </c>
      <c r="E7" s="46">
        <f>D7*57.5</f>
        <v/>
      </c>
      <c r="F7" s="46" t="n">
        <v>6</v>
      </c>
      <c r="G7" s="46" t="n">
        <v>84</v>
      </c>
      <c r="H7" s="46" t="n">
        <v>44</v>
      </c>
      <c r="I7" s="30">
        <f>SUM(E7:H7)</f>
        <v/>
      </c>
      <c r="J7" s="30" t="n">
        <v>480</v>
      </c>
      <c r="K7" s="33">
        <f>(J7-I7)/J7</f>
        <v/>
      </c>
    </row>
    <row r="8" ht="18" customHeight="1" s="53">
      <c r="A8" s="5" t="n">
        <v>4</v>
      </c>
      <c r="B8" s="27" t="inlineStr">
        <is>
          <t>Virtuoso Building</t>
        </is>
      </c>
      <c r="C8" s="7" t="n">
        <v>1200</v>
      </c>
      <c r="D8" s="34" t="n">
        <v>3.65</v>
      </c>
      <c r="E8" s="40">
        <f>D8*57.5</f>
        <v/>
      </c>
      <c r="F8" s="40" t="n">
        <v>4.5</v>
      </c>
      <c r="G8" s="40" t="n">
        <v>80</v>
      </c>
      <c r="H8" s="40" t="n">
        <v>40</v>
      </c>
      <c r="I8" s="28">
        <f>SUM(E8:H8)</f>
        <v/>
      </c>
      <c r="J8" s="28" t="n">
        <v>288</v>
      </c>
      <c r="K8" s="35">
        <f>(J8-I8)/J8</f>
        <v/>
      </c>
    </row>
    <row r="9" ht="18" customHeight="1" s="53">
      <c r="A9" s="9" t="n">
        <v>5</v>
      </c>
      <c r="B9" s="29" t="inlineStr">
        <is>
          <t>Knights of Pythias Hall</t>
        </is>
      </c>
      <c r="C9" s="11" t="n">
        <v>900</v>
      </c>
      <c r="D9" s="32" t="n">
        <v>3.5</v>
      </c>
      <c r="E9" s="46">
        <f>D9*57.5</f>
        <v/>
      </c>
      <c r="F9" s="46" t="n">
        <v>3.5</v>
      </c>
      <c r="G9" s="46" t="n">
        <v>78</v>
      </c>
      <c r="H9" s="46" t="n">
        <v>38</v>
      </c>
      <c r="I9" s="30">
        <f>SUM(E9:H9)</f>
        <v/>
      </c>
      <c r="J9" s="30" t="n">
        <v>216</v>
      </c>
      <c r="K9" s="33">
        <f>(J9-I9)/J9</f>
        <v/>
      </c>
    </row>
    <row r="10" ht="18" customHeight="1" s="53">
      <c r="A10" s="5" t="n">
        <v>6</v>
      </c>
      <c r="B10" s="27" t="inlineStr">
        <is>
          <t>Burk Burnett Building</t>
        </is>
      </c>
      <c r="C10" s="7" t="n">
        <v>2400</v>
      </c>
      <c r="D10" s="34" t="n">
        <v>4.25</v>
      </c>
      <c r="E10" s="40">
        <f>D10*57.5</f>
        <v/>
      </c>
      <c r="F10" s="40" t="n">
        <v>7.5</v>
      </c>
      <c r="G10" s="40" t="n">
        <v>88</v>
      </c>
      <c r="H10" s="40" t="n">
        <v>46</v>
      </c>
      <c r="I10" s="28">
        <f>SUM(E10:H10)</f>
        <v/>
      </c>
      <c r="J10" s="28" t="n">
        <v>576</v>
      </c>
      <c r="K10" s="35">
        <f>(J10-I10)/J10</f>
        <v/>
      </c>
    </row>
    <row r="11" ht="18" customHeight="1" s="53">
      <c r="A11" s="9" t="n">
        <v>7</v>
      </c>
      <c r="B11" s="29" t="inlineStr">
        <is>
          <t>The Carnegie</t>
        </is>
      </c>
      <c r="C11" s="11" t="n">
        <v>3600</v>
      </c>
      <c r="D11" s="32" t="n">
        <v>5</v>
      </c>
      <c r="E11" s="46">
        <f>D11*57.5</f>
        <v/>
      </c>
      <c r="F11" s="46" t="n">
        <v>11</v>
      </c>
      <c r="G11" s="46" t="n">
        <v>98</v>
      </c>
      <c r="H11" s="46" t="n">
        <v>52</v>
      </c>
      <c r="I11" s="30">
        <f>SUM(E11:H11)</f>
        <v/>
      </c>
      <c r="J11" s="30" t="n">
        <v>864</v>
      </c>
      <c r="K11" s="33">
        <f>(J11-I11)/J11</f>
        <v/>
      </c>
    </row>
    <row r="12" ht="18" customHeight="1" s="53">
      <c r="A12" s="5" t="n">
        <v>8</v>
      </c>
      <c r="B12" s="27" t="inlineStr">
        <is>
          <t>Petroleum Building</t>
        </is>
      </c>
      <c r="C12" s="7" t="n">
        <v>2200</v>
      </c>
      <c r="D12" s="34" t="n">
        <v>4.05</v>
      </c>
      <c r="E12" s="40">
        <f>D12*57.5</f>
        <v/>
      </c>
      <c r="F12" s="40" t="n">
        <v>7</v>
      </c>
      <c r="G12" s="40" t="n">
        <v>86</v>
      </c>
      <c r="H12" s="40" t="n">
        <v>45</v>
      </c>
      <c r="I12" s="28">
        <f>SUM(E12:H12)</f>
        <v/>
      </c>
      <c r="J12" s="28" t="n">
        <v>528</v>
      </c>
      <c r="K12" s="35">
        <f>(J12-I12)/J12</f>
        <v/>
      </c>
    </row>
    <row r="13" ht="18" customHeight="1" s="53">
      <c r="A13" s="9" t="n">
        <v>9</v>
      </c>
      <c r="B13" s="29" t="inlineStr">
        <is>
          <t>Sanger Lofts</t>
        </is>
      </c>
      <c r="C13" s="11" t="n">
        <v>1400</v>
      </c>
      <c r="D13" s="32" t="n">
        <v>3.75</v>
      </c>
      <c r="E13" s="46">
        <f>D13*57.5</f>
        <v/>
      </c>
      <c r="F13" s="46" t="n">
        <v>5</v>
      </c>
      <c r="G13" s="46" t="n">
        <v>82</v>
      </c>
      <c r="H13" s="46" t="n">
        <v>42</v>
      </c>
      <c r="I13" s="30">
        <f>SUM(E13:H13)</f>
        <v/>
      </c>
      <c r="J13" s="30" t="n">
        <v>336</v>
      </c>
      <c r="K13" s="33">
        <f>(J13-I13)/J13</f>
        <v/>
      </c>
    </row>
    <row r="14" ht="18" customHeight="1" s="53">
      <c r="A14" s="5" t="n">
        <v>10</v>
      </c>
      <c r="B14" s="27" t="inlineStr">
        <is>
          <t>Plaza Hotel Building</t>
        </is>
      </c>
      <c r="C14" s="7" t="n">
        <v>900</v>
      </c>
      <c r="D14" s="34" t="n">
        <v>3.5</v>
      </c>
      <c r="E14" s="40">
        <f>D14*57.5</f>
        <v/>
      </c>
      <c r="F14" s="40" t="n">
        <v>3.5</v>
      </c>
      <c r="G14" s="40" t="n">
        <v>78</v>
      </c>
      <c r="H14" s="40" t="n">
        <v>38</v>
      </c>
      <c r="I14" s="28">
        <f>SUM(E14:H14)</f>
        <v/>
      </c>
      <c r="J14" s="28" t="n">
        <v>216</v>
      </c>
      <c r="K14" s="35">
        <f>(J14-I14)/J14</f>
        <v/>
      </c>
    </row>
    <row r="15" ht="18" customHeight="1" s="53">
      <c r="A15" s="9" t="n">
        <v>11</v>
      </c>
      <c r="B15" s="29" t="inlineStr">
        <is>
          <t>The Cassidy</t>
        </is>
      </c>
      <c r="C15" s="11" t="n">
        <v>2100</v>
      </c>
      <c r="D15" s="32" t="n">
        <v>4</v>
      </c>
      <c r="E15" s="46">
        <f>D15*57.5</f>
        <v/>
      </c>
      <c r="F15" s="46" t="n">
        <v>6.5</v>
      </c>
      <c r="G15" s="46" t="n">
        <v>85</v>
      </c>
      <c r="H15" s="46" t="n">
        <v>45</v>
      </c>
      <c r="I15" s="30">
        <f>SUM(E15:H15)</f>
        <v/>
      </c>
      <c r="J15" s="30" t="n">
        <v>504</v>
      </c>
      <c r="K15" s="33">
        <f>(J15-I15)/J15</f>
        <v/>
      </c>
    </row>
    <row r="16" ht="20" customHeight="1" s="53">
      <c r="A16" s="38" t="inlineStr">
        <is>
          <t>TOTAL PER FULL PASS (11 Trips)</t>
        </is>
      </c>
      <c r="B16" s="71" t="n"/>
      <c r="C16" s="14">
        <f>SUM(C5:C15)</f>
        <v/>
      </c>
      <c r="D16" s="36">
        <f>SUM(D5:D15)</f>
        <v/>
      </c>
      <c r="E16" s="58">
        <f>SUM(E5:E15)</f>
        <v/>
      </c>
      <c r="F16" s="58">
        <f>SUM(F5:F15)</f>
        <v/>
      </c>
      <c r="G16" s="58">
        <f>SUM(G5:G15)</f>
        <v/>
      </c>
      <c r="H16" s="58">
        <f>SUM(H5:H15)</f>
        <v/>
      </c>
      <c r="I16" s="58">
        <f>SUM(I5:I15)</f>
        <v/>
      </c>
      <c r="J16" s="58">
        <f>SUM(J5:J15)</f>
        <v/>
      </c>
      <c r="K16" s="37">
        <f>(J16-I16)/J16</f>
        <v/>
      </c>
    </row>
  </sheetData>
  <mergeCells count="3">
    <mergeCell ref="A2:K2"/>
    <mergeCell ref="A1:K1"/>
    <mergeCell ref="A16:B16"/>
  </mergeCells>
  <pageMargins left="0.5" right="0.5" top="0.75" bottom="0.75" header="0.5" footer="0.5"/>
  <pageSetup orientation="landscape" fitToHeight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2026-09-03T02:35:07Z</dcterms:created>
  <dcterms:modified xsi:type="dcterms:W3CDTF">2026-09-03T12:57:22Z</dcterms:modified>
  <cp:lastModifiedBy>Humberto Dominguez</cp:lastModifiedBy>
  <cp:lastPrinted>2026-09-03T03:01:14Z</cp:lastPrinted>
</cp:coreProperties>
</file>